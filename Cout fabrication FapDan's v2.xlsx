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BOU\Desktop\"/>
    </mc:Choice>
  </mc:AlternateContent>
  <xr:revisionPtr revIDLastSave="0" documentId="8_{FCCC453D-25AE-498D-9468-0DBC893D8E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7" i="1" l="1"/>
  <c r="E46" i="1"/>
  <c r="C46" i="1"/>
  <c r="G45" i="1"/>
  <c r="F45" i="1"/>
  <c r="D45" i="1"/>
  <c r="H45" i="1" s="1"/>
  <c r="G44" i="1"/>
  <c r="F44" i="1"/>
  <c r="D44" i="1"/>
  <c r="B54" i="1"/>
  <c r="D21" i="1"/>
  <c r="H21" i="1" s="1"/>
  <c r="D22" i="1"/>
  <c r="H22" i="1" s="1"/>
  <c r="D23" i="1"/>
  <c r="H23" i="1" s="1"/>
  <c r="D24" i="1"/>
  <c r="H24" i="1" s="1"/>
  <c r="D25" i="1"/>
  <c r="H25" i="1" s="1"/>
  <c r="D26" i="1"/>
  <c r="H26" i="1" s="1"/>
  <c r="D27" i="1"/>
  <c r="H27" i="1" s="1"/>
  <c r="D28" i="1"/>
  <c r="H28" i="1" s="1"/>
  <c r="D29" i="1"/>
  <c r="H29" i="1" s="1"/>
  <c r="D30" i="1"/>
  <c r="H30" i="1" s="1"/>
  <c r="D31" i="1"/>
  <c r="H31" i="1" s="1"/>
  <c r="D32" i="1"/>
  <c r="H32" i="1" s="1"/>
  <c r="D33" i="1"/>
  <c r="H33" i="1" s="1"/>
  <c r="D34" i="1"/>
  <c r="H34" i="1" s="1"/>
  <c r="D35" i="1"/>
  <c r="H35" i="1" s="1"/>
  <c r="D36" i="1"/>
  <c r="H36" i="1" s="1"/>
  <c r="D37" i="1"/>
  <c r="H37" i="1" s="1"/>
  <c r="D38" i="1"/>
  <c r="H38" i="1" s="1"/>
  <c r="D39" i="1"/>
  <c r="H39" i="1" s="1"/>
  <c r="D40" i="1"/>
  <c r="H40" i="1" s="1"/>
  <c r="D41" i="1"/>
  <c r="H41" i="1" s="1"/>
  <c r="D10" i="1"/>
  <c r="H10" i="1" s="1"/>
  <c r="D11" i="1"/>
  <c r="H11" i="1" s="1"/>
  <c r="D12" i="1"/>
  <c r="H12" i="1" s="1"/>
  <c r="D13" i="1"/>
  <c r="H13" i="1" s="1"/>
  <c r="D14" i="1"/>
  <c r="H14" i="1" s="1"/>
  <c r="D15" i="1"/>
  <c r="H15" i="1" s="1"/>
  <c r="D16" i="1"/>
  <c r="H16" i="1" s="1"/>
  <c r="D17" i="1"/>
  <c r="H17" i="1" s="1"/>
  <c r="D18" i="1"/>
  <c r="H18" i="1" s="1"/>
  <c r="D19" i="1"/>
  <c r="H19" i="1" s="1"/>
  <c r="D20" i="1"/>
  <c r="H20" i="1" s="1"/>
  <c r="F46" i="1" l="1"/>
  <c r="G46" i="1"/>
  <c r="D46" i="1"/>
  <c r="H44" i="1"/>
  <c r="H46" i="1" s="1"/>
  <c r="I45" i="1"/>
  <c r="J45" i="1" s="1"/>
  <c r="D42" i="1"/>
  <c r="C42" i="1"/>
  <c r="F33" i="1"/>
  <c r="F40" i="1"/>
  <c r="F39" i="1"/>
  <c r="F38" i="1"/>
  <c r="F37" i="1"/>
  <c r="F36" i="1"/>
  <c r="F24" i="1"/>
  <c r="F23" i="1"/>
  <c r="F22" i="1"/>
  <c r="F12" i="1"/>
  <c r="F31" i="1"/>
  <c r="F32" i="1"/>
  <c r="F34" i="1"/>
  <c r="F35" i="1"/>
  <c r="F30" i="1"/>
  <c r="E42" i="1"/>
  <c r="F29" i="1"/>
  <c r="F28" i="1"/>
  <c r="I44" i="1" l="1"/>
  <c r="I46" i="1" s="1"/>
  <c r="F11" i="1"/>
  <c r="F13" i="1"/>
  <c r="F14" i="1"/>
  <c r="F15" i="1"/>
  <c r="F16" i="1"/>
  <c r="F17" i="1"/>
  <c r="F18" i="1"/>
  <c r="F19" i="1"/>
  <c r="F20" i="1"/>
  <c r="F21" i="1"/>
  <c r="F25" i="1"/>
  <c r="F26" i="1"/>
  <c r="F27" i="1"/>
  <c r="F10" i="1"/>
  <c r="J44" i="1" l="1"/>
  <c r="J46" i="1" s="1"/>
  <c r="G11" i="1"/>
  <c r="I11" i="1" s="1"/>
  <c r="J11" i="1" s="1"/>
  <c r="G35" i="1"/>
  <c r="I35" i="1" s="1"/>
  <c r="J35" i="1" s="1"/>
  <c r="G41" i="1"/>
  <c r="I41" i="1" s="1"/>
  <c r="J41" i="1" s="1"/>
  <c r="G38" i="1"/>
  <c r="I38" i="1" s="1"/>
  <c r="J38" i="1" s="1"/>
  <c r="G23" i="1"/>
  <c r="I23" i="1" s="1"/>
  <c r="J23" i="1" s="1"/>
  <c r="G39" i="1"/>
  <c r="I39" i="1" s="1"/>
  <c r="J39" i="1" s="1"/>
  <c r="G24" i="1"/>
  <c r="I24" i="1" s="1"/>
  <c r="J24" i="1" s="1"/>
  <c r="G30" i="1"/>
  <c r="I30" i="1" s="1"/>
  <c r="J30" i="1" s="1"/>
  <c r="G33" i="1"/>
  <c r="I33" i="1" s="1"/>
  <c r="J33" i="1" s="1"/>
  <c r="G36" i="1"/>
  <c r="I36" i="1" s="1"/>
  <c r="J36" i="1" s="1"/>
  <c r="G12" i="1"/>
  <c r="I12" i="1" s="1"/>
  <c r="J12" i="1" s="1"/>
  <c r="G34" i="1"/>
  <c r="I34" i="1" s="1"/>
  <c r="J34" i="1" s="1"/>
  <c r="G37" i="1"/>
  <c r="I37" i="1" s="1"/>
  <c r="J37" i="1" s="1"/>
  <c r="G22" i="1"/>
  <c r="I22" i="1" s="1"/>
  <c r="J22" i="1" s="1"/>
  <c r="G31" i="1"/>
  <c r="I31" i="1" s="1"/>
  <c r="J31" i="1" s="1"/>
  <c r="G32" i="1"/>
  <c r="I32" i="1" s="1"/>
  <c r="J32" i="1" s="1"/>
  <c r="F42" i="1"/>
  <c r="H42" i="1"/>
  <c r="G18" i="1"/>
  <c r="I18" i="1" s="1"/>
  <c r="J18" i="1" s="1"/>
  <c r="G17" i="1"/>
  <c r="I17" i="1" s="1"/>
  <c r="J17" i="1" s="1"/>
  <c r="G19" i="1"/>
  <c r="I19" i="1" s="1"/>
  <c r="J19" i="1" s="1"/>
  <c r="G40" i="1"/>
  <c r="I40" i="1" s="1"/>
  <c r="J40" i="1" s="1"/>
  <c r="G29" i="1"/>
  <c r="I29" i="1" s="1"/>
  <c r="J29" i="1" s="1"/>
  <c r="G28" i="1"/>
  <c r="I28" i="1" s="1"/>
  <c r="J28" i="1" s="1"/>
  <c r="G27" i="1"/>
  <c r="I27" i="1" s="1"/>
  <c r="J27" i="1" s="1"/>
  <c r="G16" i="1"/>
  <c r="I16" i="1" s="1"/>
  <c r="J16" i="1" s="1"/>
  <c r="G26" i="1"/>
  <c r="I26" i="1" s="1"/>
  <c r="J26" i="1" s="1"/>
  <c r="G25" i="1"/>
  <c r="I25" i="1" s="1"/>
  <c r="J25" i="1" s="1"/>
  <c r="G14" i="1"/>
  <c r="I14" i="1" s="1"/>
  <c r="J14" i="1" s="1"/>
  <c r="G15" i="1"/>
  <c r="G21" i="1"/>
  <c r="I21" i="1" s="1"/>
  <c r="J21" i="1" s="1"/>
  <c r="G13" i="1"/>
  <c r="I13" i="1" s="1"/>
  <c r="J13" i="1" s="1"/>
  <c r="G10" i="1"/>
  <c r="I10" i="1" s="1"/>
  <c r="G20" i="1"/>
  <c r="I20" i="1" s="1"/>
  <c r="J20" i="1" s="1"/>
  <c r="G42" i="1" l="1"/>
  <c r="I15" i="1"/>
  <c r="J15" i="1" s="1"/>
  <c r="J10" i="1"/>
  <c r="J42" i="1" l="1"/>
  <c r="I42" i="1"/>
  <c r="F71" i="1" l="1"/>
  <c r="F70" i="1"/>
</calcChain>
</file>

<file path=xl/sharedStrings.xml><?xml version="1.0" encoding="utf-8"?>
<sst xmlns="http://schemas.openxmlformats.org/spreadsheetml/2006/main" count="95" uniqueCount="92">
  <si>
    <t>Pièces</t>
  </si>
  <si>
    <t>Qté pièces</t>
  </si>
  <si>
    <t>Coût élec</t>
  </si>
  <si>
    <t>Coût Total</t>
  </si>
  <si>
    <t>Pièce A bas</t>
  </si>
  <si>
    <t>Coût filament</t>
  </si>
  <si>
    <t>Pièce D haut</t>
  </si>
  <si>
    <t>Pièce B</t>
  </si>
  <si>
    <t>Coût total + 20%</t>
  </si>
  <si>
    <t>Pièce C</t>
  </si>
  <si>
    <t>Vis assemblages</t>
  </si>
  <si>
    <t>Support</t>
  </si>
  <si>
    <t>Axes rouleaux</t>
  </si>
  <si>
    <t>Rouleau papier neuf</t>
  </si>
  <si>
    <t>Rouleau papier usé</t>
  </si>
  <si>
    <t>Vis rouleau M6</t>
  </si>
  <si>
    <t>Grille A</t>
  </si>
  <si>
    <t>Grille B</t>
  </si>
  <si>
    <t>Temps total</t>
  </si>
  <si>
    <t>Base controleur</t>
  </si>
  <si>
    <t>Bouchon rouleau moteur V2</t>
  </si>
  <si>
    <t>Bouchon</t>
  </si>
  <si>
    <t>Centre rouleau papier lavé V2</t>
  </si>
  <si>
    <t>Coude 90</t>
  </si>
  <si>
    <t>Couvercle controleur</t>
  </si>
  <si>
    <t>Ecrou support capteur M6</t>
  </si>
  <si>
    <t>Ecrous d'assemblage M6</t>
  </si>
  <si>
    <t>Pièce A haut auto V2</t>
  </si>
  <si>
    <t>Pièce D haut auto V3</t>
  </si>
  <si>
    <t>Protecteur flotteur</t>
  </si>
  <si>
    <t>Rouleau moteur V3</t>
  </si>
  <si>
    <t>Rouleau papier lavé</t>
  </si>
  <si>
    <t>Rouleau retour</t>
  </si>
  <si>
    <t xml:space="preserve">Support moteur </t>
  </si>
  <si>
    <t>Support niveau V2</t>
  </si>
  <si>
    <t>Tuyau</t>
  </si>
  <si>
    <t>Vis rouleau moteur M8</t>
  </si>
  <si>
    <t>Vis capteur niveau M6</t>
  </si>
  <si>
    <t>Couvercle moteur</t>
  </si>
  <si>
    <t>Electricité</t>
  </si>
  <si>
    <t>PETG</t>
  </si>
  <si>
    <t>&gt; COUT DES COMPOSANTS :</t>
  </si>
  <si>
    <t>Pour le filtre :</t>
  </si>
  <si>
    <t>Pour le boitier de commande (facultatif) :</t>
  </si>
  <si>
    <t>TOTAL</t>
  </si>
  <si>
    <t>Arduino nano</t>
  </si>
  <si>
    <t>Shield arduino nano</t>
  </si>
  <si>
    <t>si impression du boitier de commande facultatif</t>
  </si>
  <si>
    <t>https://fr.aliexpress.com/item/Expansion-Board-Terminal-Adapter-DIY-Kit-For-Arduino-NANO-IO-Shield-V1-0/32656255024.html?spm=a2g0w.search0104.3.46.26215d4cLpsQd5&amp;ws_ab_test=searchweb0_0,searchweb201602_5_10065_10068_319_10892_317_10696_10084_453_454_10083_10618_10304_10307_10820_10821_537_10302_536_10843_10059_10884_10887_321_322_10103,searchweb201603_52,ppcSwitch_0&amp;algo_expid=10866086-e013-4f9a-890b-619d6ec45601-9&amp;algo_pvid=10866086-e013-4f9a-890b-619d6ec45601&amp;transAbTest=ae803_3</t>
  </si>
  <si>
    <t>https://fr.aliexpress.com/item/1PCS-Nano-3-0-Controller-Board-Compatible-for-Arduino-Nano-CH340-USB-Driver-without-USB-Free/32518770128.html?spm=a2g0w.search0104.3.181.3735393eRoIXnR&amp;ws_ab_test=searchweb0_0,searchweb201602_5_10065_10068_319_10892_317_10696_10084_453_454_10083_10618_10304_10307_10820_10821_537_10302_536_10843_10059_10884_10887_321_322_10103,searchweb201603_52,ppcSwitch_0&amp;algo_expid=aa94e67f-ca67-462c-b91e-43024037f370-29&amp;algo_pvid=aa94e67f-ca67-462c-b91e-43024037f370&amp;transAbTest=ae803_3</t>
  </si>
  <si>
    <t>https://fr.aliexpress.com/item/1pcs-KY-019-5V-One-1-Channel-Relay-Module-Board-Shield-For-PIC-AVR-DSP-ARM/32723061135.html?spm=a2g0w.search0104.3.304.6b44635ahtWhVD&amp;ws_ab_test=searchweb0_0,searchweb201602_5_10065_10068_319_10892_317_10696_10084_453_454_10083_10618_10304_10307_10820_10821_537_10302_536_10843_10059_10884_10887_321_322_10103,searchweb201603_52,ppcSwitch_0&amp;algo_expid=9c961e4b-4c23-43ab-9a41-70be2256e1fb-43&amp;algo_pvid=9c961e4b-4c23-43ab-9a41-70be2256e1fb&amp;transAbTest=ae803_3</t>
  </si>
  <si>
    <t xml:space="preserve"> 2 x domino</t>
  </si>
  <si>
    <t>https://www.amazon.fr/TOOGOO-Connecteur-Voie-electrique-Borne/dp/B00JFOSZKE/ref=sr_1_33?keywords=domino+electrique&amp;qid=1557474845&amp;s=gateway&amp;sr=8-33</t>
  </si>
  <si>
    <t>&gt; COUT TOTAL DU FAPDAN'S V2 :</t>
  </si>
  <si>
    <r>
      <rPr>
        <b/>
        <u/>
        <sz val="16"/>
        <color theme="1"/>
        <rFont val="Comic Sans MS"/>
        <family val="4"/>
      </rPr>
      <t>SANS</t>
    </r>
    <r>
      <rPr>
        <sz val="16"/>
        <color theme="1"/>
        <rFont val="Comic Sans MS"/>
        <family val="4"/>
      </rPr>
      <t xml:space="preserve"> boitier de contrôle :</t>
    </r>
  </si>
  <si>
    <r>
      <rPr>
        <b/>
        <u/>
        <sz val="16"/>
        <color theme="1"/>
        <rFont val="Comic Sans MS"/>
        <family val="4"/>
      </rPr>
      <t>AVEC</t>
    </r>
    <r>
      <rPr>
        <sz val="16"/>
        <color theme="1"/>
        <rFont val="Comic Sans MS"/>
        <family val="4"/>
      </rPr>
      <t xml:space="preserve"> boitier de contrôle :</t>
    </r>
  </si>
  <si>
    <t>https://www.ebay.fr/itm/Tank-Pool-Water-Level-Liquid-Sensor-Float-Switch-Switcher-GOOD-New-GN/112889927627?hash=item1a48c397cb:g:M2wAAOSwiLdWChrX</t>
  </si>
  <si>
    <t>https://www.ebay.fr/itm/AC-DC-12V-1A-110-240V-POWER-SUPPLY-ADAPTER-CHARGER-FOR-3528-5050-LED-Plugs-NB/333167911070?hash=item4d925ae09e:m:mBeLzKv8Ild1ViZlUgQBkmQ</t>
  </si>
  <si>
    <t>Temps (1 pièce)</t>
  </si>
  <si>
    <t>Base</t>
  </si>
  <si>
    <t>Couvercle</t>
  </si>
  <si>
    <t>Motoréducteur 7 RPM en 12V</t>
  </si>
  <si>
    <t>Flotteur</t>
  </si>
  <si>
    <t>Allimentation 12V 1A</t>
  </si>
  <si>
    <r>
      <t xml:space="preserve">Relais </t>
    </r>
    <r>
      <rPr>
        <b/>
        <sz val="11"/>
        <color theme="1"/>
        <rFont val="Comic Sans MS"/>
        <family val="4"/>
      </rPr>
      <t>ou</t>
    </r>
    <r>
      <rPr>
        <sz val="11"/>
        <color theme="1"/>
        <rFont val="Comic Sans MS"/>
        <family val="4"/>
      </rPr>
      <t xml:space="preserve"> mosfet</t>
    </r>
  </si>
  <si>
    <t>Relais</t>
  </si>
  <si>
    <t>Mosfet</t>
  </si>
  <si>
    <t>Estimation du temps d'impression et de la longueur de filament est évaluée par Simplify 3D</t>
  </si>
  <si>
    <t>ESTIMATION DU COUT DE FABRICATION DU FAPDAN'S V2</t>
  </si>
  <si>
    <t>&gt; COUT D'IMPRESSION 3D DES PIECES :</t>
  </si>
  <si>
    <t>Seul les cases</t>
  </si>
  <si>
    <t>peuvent êtres modifiées</t>
  </si>
  <si>
    <t>https://fr.aliexpress.com/item/TOP-MOSFET-Button-IRF520-MOSFET-Driver-Module-for-Arduino-ARM-Raspberry-pi/32278959252.html?spm=a2g0w.search0104.3.1.31546a4bh1V49P&amp;ws_ab_test=searchweb0_0,searchweb201602_1_10065_10068_10130_10547_319_10059_10884_317_10548_10887_10696_321_322_10084_453_10083_454_10103_10618_10307_537_536,searchweb201603_51,ppcSwitch_0&amp;algo_expid=a3b26830-7f25-442e-a160-5b1ed832b04c-0&amp;algo_pvid=a3b26830-7f25-442e-a160-5b1ed832b04c</t>
  </si>
  <si>
    <t>https://fr.aliexpress.com/item/37mm-diam-tre-bo-te-de-vitesses-arbre-excentrique-motor-ducteur-12-v-24-v-DC/32885854653.html?spm=a2g0w.search0104.3.65.40eb5dfcOjt4XH&amp;ws_ab_test=searchweb0_0%2Csearchweb201602_1_10065_10130_10068_10547_319_10892_317_10696_453_10084_454_10083_10618_10307_10821_537_10302_536_10059_10884_10887_321_322_10103%2Csearchweb201603_51%2CppcSwitch_0&amp;algo_pvid=26a01faa-290b-4670-8be0-7669183dfcdb&amp;algo_expid=26a01faa-290b-4670-8be0-7669183dfcdb-10</t>
  </si>
  <si>
    <t>Qté (Mètres)</t>
  </si>
  <si>
    <t>Qté(Grammes)</t>
  </si>
  <si>
    <t>2 led</t>
  </si>
  <si>
    <t>2 resistance 1K</t>
  </si>
  <si>
    <t>1 bouton instantané 12mm</t>
  </si>
  <si>
    <t>https://fr.aliexpress.com/item/10-pi-ces-5mm-diode-LED-lumi-re-assortiment-Kit-bricolage-LED-s-Set-blanc-jaune/32855494900.html?spm=a2g0w.search0104.3.116.64ad7cf2AaJcyo&amp;ws_ab_test=searchweb0_0%2Csearchweb201602_2_10065_10068_319_10892_317_10696_10084_453</t>
  </si>
  <si>
    <t>https://fr.aliexpress.com/item/100pcs-1k-ohm-1-4W-1k-Metal-Film-Resistor-1kohm-0-25W-1-ROHS/32577059793.html?spm=a2g0w.search0104.3.62.227745b0M9RSEI&amp;ws_ab_test=searchweb0_0,searchweb201602_2_10065_10068_319_10892_317_10696_10084_453_454_10083_10618_10304</t>
  </si>
  <si>
    <t>https://fr.aliexpress.com/item/1-pi-ces-bouton-autobloquant-DS-228-DS228-12mm-Auto-verrouillage-MARCHE-ARR-T-Interrupteur-Bouton/33010777214.html?spm=a2g0w.search0104.3.125.368a3bd3EnYxcd&amp;ws_ab_test=searchweb0_0%2Csearchweb201602_2_10065_10068_319_10892_3</t>
  </si>
  <si>
    <t>Conso de l'imprimante (watts)</t>
  </si>
  <si>
    <t xml:space="preserve"> &lt;&lt;&lt;  prix de votre matiere au Kg /// Pour avoir une estimation juste, entrez votre prix de matiere au Kg</t>
  </si>
  <si>
    <t xml:space="preserve"> &lt;&lt;&lt;  prix du Kwh en France chez EDF /// Pour avoir une estimation juste, entrez votre prix du Kwh</t>
  </si>
  <si>
    <t xml:space="preserve"> &lt;&lt;&lt;  Conso moyenne de votre imprimante /// pour avoir une estimation juste, entrez la consommation de votre imprimante en Watts</t>
  </si>
  <si>
    <t>https://www.ebay.fr/itm/50pcs-M3-SS304-Vis-Etoile-Tete-Plate-Fixation-Boulons-En-304-Acier-inoxydable/183346568904?hash=item2ab04e9ec8:m:mQ297JwKDNEEpP-L3Gz-uag</t>
  </si>
  <si>
    <t>Vis inox M3 *10mm</t>
  </si>
  <si>
    <t>https://www.ebay.fr/itm/20Pcs-Gaine-Thermo-Retractable-Ratio-2-1-Heat-Shrink-Tube-Tuyau-Assortiment-Noir/202288295222?hash=item2f19526d36:g:liQAAOSwZMZa0at8</t>
  </si>
  <si>
    <t xml:space="preserve">Gaine thermoretractable </t>
  </si>
  <si>
    <t>Vis inox M3 *5mm</t>
  </si>
  <si>
    <t>https://fr.aliexpress.com/item/Metric-Thread-M3-5mm-Stainless-Steel-Hex-Socket-Countersunk-Screws-Fasteners/32730490446.html?spm=a2g0w.search0604.3.2.6bc75c2fDv1CyD&amp;ws_ab_test=searchweb0_0,searchweb201602_10_10065_10068_319_10892_317_10696_10084_453_454_10083_10618_10304_10307_10820_10821_537_10302_536_10843_10059_10884_10887_321_322_10103,searchweb201603_51,ppcSwitch_0&amp;algo_expid=d9b4cebc-e9e1-453d-b4d4-008100de40af-0&amp;algo_pvid=d9b4cebc-e9e1-453d-b4d4-008100de40af&amp;transAbTest=ae803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</si>
</sst>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)\ &quot;$&quot;_ ;_ * \(#,##0.00\)\ &quot;$&quot;_ ;_ * &quot;-&quot;??_)\ &quot;$&quot;_ ;_ @_ "/>
    <numFmt numFmtId="165" formatCode="_ * #,##0.0000_)\ &quot;$&quot;_ ;_ * \(#,##0.0000\)\ &quot;$&quot;_ ;_ * &quot;-&quot;????_)\ &quot;$&quot;_ ;_ @_ "/>
    <numFmt numFmtId="166" formatCode="h&quot; h &quot;mm;@"/>
    <numFmt numFmtId="167" formatCode="[h]\ &quot;h&quot;\ mm\ ;\ @"/>
    <numFmt numFmtId="168" formatCode="0.000"/>
    <numFmt numFmtId="169" formatCode="#,##0.0000\ &quot;€&quot;"/>
    <numFmt numFmtId="170" formatCode="#,##0.00\ &quot;€&quot;"/>
    <numFmt numFmtId="171" formatCode="0.000&quot; M&quot;"/>
    <numFmt numFmtId="172" formatCode="0.000&quot; Gr&quot;"/>
    <numFmt numFmtId="173" formatCode="#,##0.00\ [$€-1]"/>
    <numFmt numFmtId="174" formatCode="#,##0.000\ [$€-40C]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omic Sans MS"/>
      <family val="4"/>
    </font>
    <font>
      <sz val="11"/>
      <color theme="1"/>
      <name val="Comic Sans MS"/>
      <family val="4"/>
    </font>
    <font>
      <b/>
      <sz val="11"/>
      <color theme="1"/>
      <name val="Comic Sans MS"/>
      <family val="4"/>
    </font>
    <font>
      <b/>
      <u/>
      <sz val="16"/>
      <color theme="1"/>
      <name val="Comic Sans MS"/>
      <family val="4"/>
    </font>
    <font>
      <b/>
      <u/>
      <sz val="12"/>
      <color rgb="FF0070C0"/>
      <name val="Comic Sans MS"/>
      <family val="4"/>
    </font>
    <font>
      <b/>
      <sz val="12"/>
      <color theme="1"/>
      <name val="Comic Sans MS"/>
      <family val="4"/>
    </font>
    <font>
      <b/>
      <sz val="14"/>
      <color theme="1"/>
      <name val="Comic Sans MS"/>
      <family val="4"/>
    </font>
    <font>
      <b/>
      <u/>
      <sz val="14"/>
      <color rgb="FF0070C0"/>
      <name val="Comic Sans MS"/>
      <family val="4"/>
    </font>
    <font>
      <u/>
      <sz val="14"/>
      <color rgb="FF0070C0"/>
      <name val="Comic Sans MS"/>
      <family val="4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omic Sans MS"/>
      <family val="4"/>
    </font>
    <font>
      <sz val="16"/>
      <color theme="1"/>
      <name val="Comic Sans MS"/>
      <family val="4"/>
    </font>
    <font>
      <sz val="16"/>
      <color theme="1"/>
      <name val="Calibri"/>
      <family val="2"/>
      <scheme val="minor"/>
    </font>
    <font>
      <b/>
      <sz val="26"/>
      <color rgb="FF7030A0"/>
      <name val="Comic Sans MS"/>
      <family val="4"/>
    </font>
    <font>
      <sz val="26"/>
      <color rgb="FF7030A0"/>
      <name val="Comic Sans MS"/>
      <family val="4"/>
    </font>
    <font>
      <b/>
      <sz val="11"/>
      <color rgb="FFFF0000"/>
      <name val="Comic Sans MS"/>
      <family val="4"/>
    </font>
    <font>
      <b/>
      <u/>
      <sz val="28"/>
      <color rgb="FFFF0000"/>
      <name val="Comic Sans MS"/>
      <family val="4"/>
    </font>
    <font>
      <u/>
      <sz val="28"/>
      <color rgb="FFFF0000"/>
      <name val="Comic Sans MS"/>
      <family val="4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35">
    <xf numFmtId="0" fontId="0" fillId="0" borderId="0" xfId="0"/>
    <xf numFmtId="0" fontId="3" fillId="0" borderId="8" xfId="0" applyFont="1" applyBorder="1" applyAlignment="1">
      <alignment horizontal="center"/>
    </xf>
    <xf numFmtId="166" fontId="3" fillId="0" borderId="8" xfId="0" applyNumberFormat="1" applyFont="1" applyBorder="1" applyAlignment="1">
      <alignment horizontal="center"/>
    </xf>
    <xf numFmtId="167" fontId="3" fillId="0" borderId="8" xfId="0" applyNumberFormat="1" applyFont="1" applyBorder="1" applyAlignment="1">
      <alignment horizontal="center"/>
    </xf>
    <xf numFmtId="170" fontId="3" fillId="0" borderId="8" xfId="0" applyNumberFormat="1" applyFont="1" applyBorder="1" applyAlignment="1">
      <alignment horizontal="center"/>
    </xf>
    <xf numFmtId="170" fontId="3" fillId="0" borderId="8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70" fontId="3" fillId="0" borderId="1" xfId="0" applyNumberFormat="1" applyFont="1" applyBorder="1" applyAlignment="1">
      <alignment horizontal="center"/>
    </xf>
    <xf numFmtId="170" fontId="3" fillId="0" borderId="1" xfId="1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66" fontId="3" fillId="0" borderId="13" xfId="0" applyNumberFormat="1" applyFont="1" applyBorder="1" applyAlignment="1">
      <alignment horizontal="center"/>
    </xf>
    <xf numFmtId="167" fontId="3" fillId="0" borderId="13" xfId="0" applyNumberFormat="1" applyFont="1" applyBorder="1" applyAlignment="1">
      <alignment horizontal="center"/>
    </xf>
    <xf numFmtId="170" fontId="3" fillId="0" borderId="13" xfId="0" applyNumberFormat="1" applyFont="1" applyBorder="1" applyAlignment="1">
      <alignment horizontal="center"/>
    </xf>
    <xf numFmtId="170" fontId="3" fillId="0" borderId="13" xfId="1" applyNumberFormat="1" applyFont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167" fontId="4" fillId="2" borderId="19" xfId="0" applyNumberFormat="1" applyFont="1" applyFill="1" applyBorder="1" applyAlignment="1">
      <alignment horizontal="center"/>
    </xf>
    <xf numFmtId="170" fontId="4" fillId="2" borderId="19" xfId="0" applyNumberFormat="1" applyFont="1" applyFill="1" applyBorder="1" applyAlignment="1">
      <alignment horizontal="center"/>
    </xf>
    <xf numFmtId="170" fontId="8" fillId="3" borderId="20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6" fontId="3" fillId="0" borderId="3" xfId="0" applyNumberFormat="1" applyFont="1" applyBorder="1" applyAlignment="1">
      <alignment horizontal="center"/>
    </xf>
    <xf numFmtId="167" fontId="3" fillId="0" borderId="3" xfId="0" applyNumberFormat="1" applyFont="1" applyBorder="1" applyAlignment="1">
      <alignment horizontal="center"/>
    </xf>
    <xf numFmtId="170" fontId="3" fillId="0" borderId="3" xfId="0" applyNumberFormat="1" applyFont="1" applyBorder="1" applyAlignment="1">
      <alignment horizontal="center"/>
    </xf>
    <xf numFmtId="170" fontId="3" fillId="0" borderId="3" xfId="1" applyNumberFormat="1" applyFon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170" fontId="8" fillId="3" borderId="6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8" fontId="4" fillId="0" borderId="0" xfId="0" applyNumberFormat="1" applyFont="1" applyAlignment="1">
      <alignment horizontal="center"/>
    </xf>
    <xf numFmtId="171" fontId="3" fillId="0" borderId="8" xfId="0" applyNumberFormat="1" applyFont="1" applyBorder="1" applyAlignment="1">
      <alignment horizontal="center"/>
    </xf>
    <xf numFmtId="172" fontId="3" fillId="0" borderId="8" xfId="0" applyNumberFormat="1" applyFont="1" applyBorder="1" applyAlignment="1">
      <alignment horizontal="center"/>
    </xf>
    <xf numFmtId="171" fontId="3" fillId="0" borderId="1" xfId="0" applyNumberFormat="1" applyFont="1" applyBorder="1" applyAlignment="1">
      <alignment horizontal="center"/>
    </xf>
    <xf numFmtId="171" fontId="3" fillId="0" borderId="13" xfId="0" applyNumberFormat="1" applyFont="1" applyBorder="1" applyAlignment="1">
      <alignment horizontal="center"/>
    </xf>
    <xf numFmtId="171" fontId="4" fillId="2" borderId="19" xfId="0" applyNumberFormat="1" applyFont="1" applyFill="1" applyBorder="1" applyAlignment="1">
      <alignment horizontal="center"/>
    </xf>
    <xf numFmtId="172" fontId="3" fillId="0" borderId="1" xfId="0" applyNumberFormat="1" applyFont="1" applyBorder="1" applyAlignment="1">
      <alignment horizontal="center"/>
    </xf>
    <xf numFmtId="172" fontId="3" fillId="0" borderId="13" xfId="0" applyNumberFormat="1" applyFont="1" applyBorder="1" applyAlignment="1">
      <alignment horizontal="center"/>
    </xf>
    <xf numFmtId="172" fontId="4" fillId="2" borderId="19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71" fontId="3" fillId="0" borderId="3" xfId="0" applyNumberFormat="1" applyFont="1" applyBorder="1" applyAlignment="1">
      <alignment horizontal="center"/>
    </xf>
    <xf numFmtId="171" fontId="4" fillId="2" borderId="5" xfId="0" applyNumberFormat="1" applyFont="1" applyFill="1" applyBorder="1" applyAlignment="1">
      <alignment horizontal="center"/>
    </xf>
    <xf numFmtId="172" fontId="3" fillId="0" borderId="3" xfId="0" applyNumberFormat="1" applyFont="1" applyBorder="1" applyAlignment="1">
      <alignment horizontal="center"/>
    </xf>
    <xf numFmtId="172" fontId="4" fillId="2" borderId="5" xfId="0" applyNumberFormat="1" applyFont="1" applyFill="1" applyBorder="1" applyAlignment="1">
      <alignment horizontal="center"/>
    </xf>
    <xf numFmtId="166" fontId="4" fillId="2" borderId="5" xfId="0" applyNumberFormat="1" applyFont="1" applyFill="1" applyBorder="1" applyAlignment="1">
      <alignment horizontal="center"/>
    </xf>
    <xf numFmtId="173" fontId="4" fillId="2" borderId="5" xfId="0" applyNumberFormat="1" applyFont="1" applyFill="1" applyBorder="1" applyAlignment="1">
      <alignment horizontal="center"/>
    </xf>
    <xf numFmtId="174" fontId="4" fillId="2" borderId="5" xfId="0" applyNumberFormat="1" applyFont="1" applyFill="1" applyBorder="1" applyAlignment="1">
      <alignment horizontal="center"/>
    </xf>
    <xf numFmtId="0" fontId="18" fillId="0" borderId="15" xfId="0" applyFont="1" applyBorder="1" applyAlignment="1">
      <alignment horizontal="right" vertical="center"/>
    </xf>
    <xf numFmtId="0" fontId="18" fillId="6" borderId="16" xfId="0" applyFont="1" applyFill="1" applyBorder="1" applyAlignment="1">
      <alignment horizontal="center" vertical="center"/>
    </xf>
    <xf numFmtId="0" fontId="18" fillId="0" borderId="16" xfId="0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/>
    <xf numFmtId="170" fontId="3" fillId="0" borderId="9" xfId="1" applyNumberFormat="1" applyFont="1" applyBorder="1" applyAlignment="1">
      <alignment horizontal="center"/>
    </xf>
    <xf numFmtId="170" fontId="3" fillId="0" borderId="11" xfId="1" applyNumberFormat="1" applyFont="1" applyBorder="1" applyAlignment="1">
      <alignment horizontal="center"/>
    </xf>
    <xf numFmtId="170" fontId="3" fillId="0" borderId="14" xfId="1" applyNumberFormat="1" applyFont="1" applyBorder="1" applyAlignment="1">
      <alignment horizontal="center"/>
    </xf>
    <xf numFmtId="170" fontId="3" fillId="0" borderId="26" xfId="1" applyNumberFormat="1" applyFont="1" applyBorder="1" applyAlignment="1">
      <alignment horizontal="center"/>
    </xf>
    <xf numFmtId="170" fontId="7" fillId="3" borderId="29" xfId="0" applyNumberFormat="1" applyFont="1" applyFill="1" applyBorder="1" applyAlignment="1">
      <alignment horizontal="center" vertical="center"/>
    </xf>
    <xf numFmtId="0" fontId="2" fillId="0" borderId="0" xfId="0" applyFont="1"/>
    <xf numFmtId="0" fontId="3" fillId="0" borderId="24" xfId="0" applyFont="1" applyBorder="1"/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3" fillId="0" borderId="7" xfId="0" applyFont="1" applyBorder="1"/>
    <xf numFmtId="0" fontId="3" fillId="0" borderId="10" xfId="0" applyFont="1" applyBorder="1"/>
    <xf numFmtId="0" fontId="3" fillId="0" borderId="12" xfId="0" applyFont="1" applyBorder="1"/>
    <xf numFmtId="0" fontId="3" fillId="0" borderId="27" xfId="0" applyFont="1" applyBorder="1"/>
    <xf numFmtId="0" fontId="3" fillId="0" borderId="2" xfId="0" applyFont="1" applyBorder="1"/>
    <xf numFmtId="0" fontId="3" fillId="0" borderId="28" xfId="0" applyFont="1" applyBorder="1"/>
    <xf numFmtId="0" fontId="3" fillId="0" borderId="29" xfId="0" applyFont="1" applyBorder="1"/>
    <xf numFmtId="0" fontId="4" fillId="0" borderId="30" xfId="0" applyFont="1" applyBorder="1"/>
    <xf numFmtId="170" fontId="2" fillId="3" borderId="16" xfId="0" applyNumberFormat="1" applyFont="1" applyFill="1" applyBorder="1"/>
    <xf numFmtId="0" fontId="14" fillId="0" borderId="16" xfId="0" applyFont="1" applyBorder="1"/>
    <xf numFmtId="0" fontId="14" fillId="0" borderId="17" xfId="0" applyFont="1" applyBorder="1"/>
    <xf numFmtId="0" fontId="3" fillId="0" borderId="28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169" fontId="3" fillId="6" borderId="8" xfId="1" applyNumberFormat="1" applyFont="1" applyFill="1" applyBorder="1" applyAlignment="1" applyProtection="1">
      <alignment horizontal="center" vertical="center"/>
      <protection locked="0"/>
    </xf>
    <xf numFmtId="170" fontId="3" fillId="6" borderId="1" xfId="1" applyNumberFormat="1" applyFont="1" applyFill="1" applyBorder="1" applyAlignment="1" applyProtection="1">
      <alignment horizontal="center" vertical="center"/>
      <protection locked="0"/>
    </xf>
    <xf numFmtId="0" fontId="3" fillId="6" borderId="13" xfId="1" applyNumberFormat="1" applyFont="1" applyFill="1" applyBorder="1" applyAlignment="1" applyProtection="1">
      <alignment horizontal="center" vertical="center"/>
      <protection locked="0"/>
    </xf>
    <xf numFmtId="170" fontId="13" fillId="3" borderId="29" xfId="0" applyNumberFormat="1" applyFont="1" applyFill="1" applyBorder="1" applyAlignment="1">
      <alignment horizontal="center" vertical="center"/>
    </xf>
    <xf numFmtId="170" fontId="3" fillId="7" borderId="8" xfId="1" applyNumberFormat="1" applyFont="1" applyFill="1" applyBorder="1" applyAlignment="1" applyProtection="1">
      <alignment horizontal="center" vertical="center"/>
      <protection locked="0"/>
    </xf>
    <xf numFmtId="170" fontId="3" fillId="7" borderId="1" xfId="1" applyNumberFormat="1" applyFont="1" applyFill="1" applyBorder="1" applyAlignment="1" applyProtection="1">
      <alignment horizontal="center" vertical="center"/>
      <protection locked="0"/>
    </xf>
    <xf numFmtId="170" fontId="3" fillId="7" borderId="13" xfId="1" applyNumberFormat="1" applyFont="1" applyFill="1" applyBorder="1" applyAlignment="1" applyProtection="1">
      <alignment horizontal="center" vertical="center"/>
      <protection locked="0"/>
    </xf>
    <xf numFmtId="170" fontId="3" fillId="7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170" fontId="8" fillId="0" borderId="25" xfId="0" applyNumberFormat="1" applyFont="1" applyBorder="1" applyAlignment="1">
      <alignment horizontal="center"/>
    </xf>
    <xf numFmtId="0" fontId="3" fillId="0" borderId="18" xfId="0" applyFont="1" applyBorder="1"/>
    <xf numFmtId="170" fontId="3" fillId="7" borderId="19" xfId="1" applyNumberFormat="1" applyFont="1" applyFill="1" applyBorder="1" applyAlignment="1" applyProtection="1">
      <alignment horizontal="center" vertical="center"/>
      <protection locked="0"/>
    </xf>
    <xf numFmtId="0" fontId="3" fillId="0" borderId="33" xfId="0" applyFont="1" applyBorder="1"/>
    <xf numFmtId="170" fontId="3" fillId="7" borderId="34" xfId="1" applyNumberFormat="1" applyFont="1" applyFill="1" applyBorder="1" applyAlignment="1" applyProtection="1">
      <alignment horizontal="center" vertical="center"/>
      <protection locked="0"/>
    </xf>
    <xf numFmtId="0" fontId="19" fillId="0" borderId="21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14" fillId="0" borderId="15" xfId="0" applyFont="1" applyBorder="1" applyAlignment="1">
      <alignment horizontal="right"/>
    </xf>
    <xf numFmtId="0" fontId="15" fillId="0" borderId="16" xfId="0" applyFont="1" applyBorder="1" applyAlignment="1">
      <alignment horizontal="right"/>
    </xf>
    <xf numFmtId="0" fontId="15" fillId="0" borderId="16" xfId="0" applyFont="1" applyBorder="1"/>
    <xf numFmtId="0" fontId="12" fillId="0" borderId="1" xfId="2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2" fillId="0" borderId="31" xfId="2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12" fillId="0" borderId="1" xfId="2" applyBorder="1" applyAlignment="1">
      <alignment horizontal="left"/>
    </xf>
    <xf numFmtId="0" fontId="12" fillId="0" borderId="11" xfId="2" applyBorder="1" applyAlignment="1">
      <alignment horizontal="left"/>
    </xf>
    <xf numFmtId="0" fontId="7" fillId="4" borderId="15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2" fillId="0" borderId="8" xfId="2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2" fillId="0" borderId="13" xfId="2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2" fillId="0" borderId="34" xfId="2" applyBorder="1" applyAlignment="1">
      <alignment horizontal="left"/>
    </xf>
    <xf numFmtId="0" fontId="12" fillId="0" borderId="35" xfId="2" applyBorder="1" applyAlignment="1">
      <alignment horizontal="left"/>
    </xf>
    <xf numFmtId="170" fontId="3" fillId="7" borderId="1" xfId="1" applyNumberFormat="1" applyFont="1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 applyProtection="1">
      <alignment horizontal="center" vertical="center"/>
      <protection locked="0"/>
    </xf>
    <xf numFmtId="0" fontId="7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1" xfId="0" applyFont="1" applyBorder="1"/>
    <xf numFmtId="0" fontId="3" fillId="0" borderId="11" xfId="0" applyFont="1" applyBorder="1"/>
    <xf numFmtId="0" fontId="16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3" fillId="0" borderId="13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</cellXfs>
  <cellStyles count="3">
    <cellStyle name="Lien hypertexte" xfId="2" builtinId="8"/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r.aliexpress.com/item/37mm-diam-tre-bo-te-de-vitesses-arbre-excentrique-motor-ducteur-12-v-24-v-DC/32885854653.html?spm=a2g0w.search0104.3.65.40eb5dfcOjt4XH&amp;ws_ab_test=searchweb0_0%2Csearchweb201602_1_10065_10130_10068_10547_319_10892_317_10696_453_10084_454_10083_10618_10307_10821_537_10302_536_10059_10884_10887_321_322_10103%2Csearchweb201603_51%2CppcSwitch_0&amp;algo_pvid=26a01faa-290b-4670-8be0-7669183dfcdb&amp;algo_expid=26a01faa-290b-4670-8be0-7669183dfcdb-10" TargetMode="External"/><Relationship Id="rId13" Type="http://schemas.openxmlformats.org/officeDocument/2006/relationships/hyperlink" Target="https://fr.aliexpress.com/item/100pcs-1k-ohm-1-4W-1k-Metal-Film-Resistor-1kohm-0-25W-1-ROHS/32577059793.html?spm=a2g0w.search0104.3.62.227745b0M9RSEI&amp;ws_ab_test=searchweb0_0,searchweb201602_2_10065_10068_319_10892_317_10696_10084_453_454_10083_10618_10304" TargetMode="External"/><Relationship Id="rId3" Type="http://schemas.openxmlformats.org/officeDocument/2006/relationships/hyperlink" Target="https://fr.aliexpress.com/item/Expansion-Board-Terminal-Adapter-DIY-Kit-For-Arduino-NANO-IO-Shield-V1-0/32656255024.html?spm=a2g0w.search0104.3.46.26215d4cLpsQd5&amp;ws_ab_test=searchweb0_0,searchweb201602_5_10065_10068_319_10892_317_10696_10084_453_454_10083_10618_10304_10307_10820_10821_537_10302_536_10843_10059_10884_10887_321_322_10103,searchweb201603_52,ppcSwitch_0&amp;algo_expid=10866086-e013-4f9a-890b-619d6ec45601-9&amp;algo_pvid=10866086-e013-4f9a-890b-619d6ec45601&amp;transAbTest=ae803_3" TargetMode="External"/><Relationship Id="rId7" Type="http://schemas.openxmlformats.org/officeDocument/2006/relationships/hyperlink" Target="https://fr.aliexpress.com/item/TOP-MOSFET-Button-IRF520-MOSFET-Driver-Module-for-Arduino-ARM-Raspberry-pi/32278959252.html?spm=a2g0w.search0104.3.1.31546a4bh1V49P&amp;ws_ab_test=searchweb0_0,searchweb201602_1_10065_10068_10130_10547_319_10059_10884_317_10548_10887_10696_321_322_10084_453_10083_454_10103_10618_10307_537_536,searchweb201603_51,ppcSwitch_0&amp;algo_expid=a3b26830-7f25-442e-a160-5b1ed832b04c-0&amp;algo_pvid=a3b26830-7f25-442e-a160-5b1ed832b04c" TargetMode="External"/><Relationship Id="rId12" Type="http://schemas.openxmlformats.org/officeDocument/2006/relationships/hyperlink" Target="https://www.ebay.fr/itm/Tank-Pool-Water-Level-Liquid-Sensor-Float-Switch-Switcher-GOOD-New-GN/112889927627?hash=item1a48c397cb:g:M2wAAOSwiLdWChrX" TargetMode="External"/><Relationship Id="rId2" Type="http://schemas.openxmlformats.org/officeDocument/2006/relationships/hyperlink" Target="https://fr.aliexpress.com/item/1PCS-Nano-3-0-Controller-Board-Compatible-for-Arduino-Nano-CH340-USB-Driver-without-USB-Free/32518770128.html?spm=a2g0w.search0104.3.181.3735393eRoIXnR&amp;ws_ab_test=searchweb0_0,searchweb201602_5_10065_10068_319_10892_317_10696_10084_453_454_10083_10618_10304_10307_10820_10821_537_10302_536_10843_10059_10884_10887_321_322_10103,searchweb201603_52,ppcSwitch_0&amp;algo_expid=aa94e67f-ca67-462c-b91e-43024037f370-29&amp;algo_pvid=aa94e67f-ca67-462c-b91e-43024037f370&amp;transAbTest=ae803_3" TargetMode="External"/><Relationship Id="rId1" Type="http://schemas.openxmlformats.org/officeDocument/2006/relationships/hyperlink" Target="https://fr.aliexpress.com/item/Expansion-Board-Terminal-Adapter-DIY-Kit-For-Arduino-NANO-IO-Shield-V1-0/32656255024.html?spm=a2g0w.search0104.3.46.26215d4cLpsQd5&amp;ws_ab_test=searchweb0_0,searchweb201602_5_10065_10068_319_10892_317_10696_10084_453_454_10083_10618_10304_10307_10820_10821_537_10302_536_10843_10059_10884_10887_321_322_10103,searchweb201603_52,ppcSwitch_0&amp;algo_expid=10866086-e013-4f9a-890b-619d6ec45601-9&amp;algo_pvid=10866086-e013-4f9a-890b-619d6ec45601&amp;transAbTest=ae803_3" TargetMode="External"/><Relationship Id="rId6" Type="http://schemas.openxmlformats.org/officeDocument/2006/relationships/hyperlink" Target="https://www.ebay.fr/itm/AC-DC-12V-1A-110-240V-POWER-SUPPLY-ADAPTER-CHARGER-FOR-3528-5050-LED-Plugs-NB/333167911070?hash=item4d925ae09e:m:mBeLzKv8Ild1ViZlUgQBkmQ" TargetMode="External"/><Relationship Id="rId11" Type="http://schemas.openxmlformats.org/officeDocument/2006/relationships/hyperlink" Target="https://fr.aliexpress.com/item/1-pi-ces-bouton-autobloquant-DS-228-DS228-12mm-Auto-verrouillage-MARCHE-ARR-T-Interrupteur-Bouton/33010777214.html?spm=a2g0w.search0104.3.125.368a3bd3EnYxcd&amp;ws_ab_test=searchweb0_0%2Csearchweb201602_2_10065_10068_319_10892_3" TargetMode="External"/><Relationship Id="rId5" Type="http://schemas.openxmlformats.org/officeDocument/2006/relationships/hyperlink" Target="https://www.ebay.fr/itm/50pcs-M3-SS304-Vis-Etoile-Tete-Plate-Fixation-Boulons-En-304-Acier-inoxydable/183346568904?hash=item2ab04e9ec8:m:mQ297JwKDNEEpP-L3Gz-uag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fr.aliexpress.com/item/100pcs-1k-ohm-1-4W-1k-Metal-Film-Resistor-1kohm-0-25W-1-ROHS/32577059793.html?spm=a2g0w.search0104.3.62.227745b0M9RSEI&amp;ws_ab_test=searchweb0_0,searchweb201602_2_10065_10068_319_10892_317_10696_10084_453_454_10083_10618_10304" TargetMode="External"/><Relationship Id="rId4" Type="http://schemas.openxmlformats.org/officeDocument/2006/relationships/hyperlink" Target="https://www.amazon.fr/TOOGOO-Connecteur-Voie-electrique-Borne/dp/B00JFOSZKE/ref=sr_1_33?keywords=domino+electrique&amp;qid=1557474845&amp;s=gateway&amp;sr=8-33" TargetMode="External"/><Relationship Id="rId9" Type="http://schemas.openxmlformats.org/officeDocument/2006/relationships/hyperlink" Target="https://fr.aliexpress.com/item/10-pi-ces-5mm-diode-LED-lumi-re-assortiment-Kit-bricolage-LED-s-Set-blanc-jaune/32855494900.html?spm=a2g0w.search0104.3.116.64ad7cf2AaJcyo&amp;ws_ab_test=searchweb0_0%2Csearchweb201602_2_10065_10068_319_10892_317_10696_10084_453" TargetMode="External"/><Relationship Id="rId14" Type="http://schemas.openxmlformats.org/officeDocument/2006/relationships/hyperlink" Target="https://www.ebay.fr/itm/20Pcs-Gaine-Thermo-Retractable-Ratio-2-1-Heat-Shrink-Tube-Tuyau-Assortiment-Noir/202288295222?hash=item2f19526d36:g:liQAAOSwZMZa0at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workbookViewId="0">
      <selection activeCell="A64" sqref="A64"/>
    </sheetView>
  </sheetViews>
  <sheetFormatPr baseColWidth="10" defaultRowHeight="16.5" x14ac:dyDescent="0.3"/>
  <cols>
    <col min="1" max="1" width="31.28515625" style="49" bestFit="1" customWidth="1"/>
    <col min="2" max="2" width="12.42578125" style="49" bestFit="1" customWidth="1"/>
    <col min="3" max="3" width="26.28515625" style="49" bestFit="1" customWidth="1"/>
    <col min="4" max="4" width="16.140625" style="49" bestFit="1" customWidth="1"/>
    <col min="5" max="5" width="18" style="49" bestFit="1" customWidth="1"/>
    <col min="6" max="6" width="13.5703125" style="49" bestFit="1" customWidth="1"/>
    <col min="7" max="7" width="10.85546875" style="49" bestFit="1" customWidth="1"/>
    <col min="8" max="8" width="15.28515625" style="49" bestFit="1" customWidth="1"/>
    <col min="9" max="9" width="12.140625" style="49" bestFit="1" customWidth="1"/>
    <col min="10" max="10" width="19.42578125" style="49" bestFit="1" customWidth="1"/>
    <col min="11" max="16384" width="11.42578125" style="49"/>
  </cols>
  <sheetData>
    <row r="1" spans="1:15" s="55" customFormat="1" ht="41.25" thickBot="1" x14ac:dyDescent="0.55000000000000004">
      <c r="A1" s="129" t="s">
        <v>68</v>
      </c>
      <c r="B1" s="130"/>
      <c r="C1" s="130"/>
      <c r="D1" s="130"/>
      <c r="E1" s="130"/>
      <c r="F1" s="130"/>
      <c r="G1" s="130"/>
      <c r="H1" s="130"/>
      <c r="I1" s="130"/>
      <c r="J1" s="131"/>
    </row>
    <row r="2" spans="1:15" s="55" customFormat="1" ht="25.5" thickBot="1" x14ac:dyDescent="0.55000000000000004">
      <c r="A2" s="45" t="s">
        <v>70</v>
      </c>
      <c r="B2" s="46"/>
      <c r="C2" s="47" t="s">
        <v>71</v>
      </c>
      <c r="D2" s="47"/>
      <c r="E2" s="83"/>
      <c r="F2" s="83"/>
      <c r="G2" s="83"/>
      <c r="H2" s="83"/>
      <c r="I2" s="83"/>
      <c r="J2" s="48"/>
    </row>
    <row r="3" spans="1:15" ht="25.5" thickBot="1" x14ac:dyDescent="0.55000000000000004">
      <c r="A3" s="112" t="s">
        <v>69</v>
      </c>
      <c r="B3" s="113"/>
      <c r="C3" s="113"/>
      <c r="D3" s="113"/>
      <c r="E3" s="113"/>
      <c r="F3" s="113"/>
      <c r="G3" s="113"/>
      <c r="H3" s="113"/>
      <c r="I3" s="113"/>
      <c r="J3" s="114"/>
      <c r="K3" s="55"/>
    </row>
    <row r="4" spans="1:15" x14ac:dyDescent="0.3">
      <c r="A4" s="62" t="s">
        <v>39</v>
      </c>
      <c r="B4" s="75">
        <v>0.158</v>
      </c>
      <c r="C4" s="125" t="s">
        <v>84</v>
      </c>
      <c r="D4" s="125"/>
      <c r="E4" s="125"/>
      <c r="F4" s="125"/>
      <c r="G4" s="125"/>
      <c r="H4" s="125"/>
      <c r="I4" s="125"/>
      <c r="J4" s="126"/>
    </row>
    <row r="5" spans="1:15" x14ac:dyDescent="0.3">
      <c r="A5" s="63" t="s">
        <v>40</v>
      </c>
      <c r="B5" s="76">
        <v>24</v>
      </c>
      <c r="C5" s="127" t="s">
        <v>83</v>
      </c>
      <c r="D5" s="127"/>
      <c r="E5" s="127"/>
      <c r="F5" s="127"/>
      <c r="G5" s="127"/>
      <c r="H5" s="127"/>
      <c r="I5" s="127"/>
      <c r="J5" s="128"/>
    </row>
    <row r="6" spans="1:15" ht="16.5" customHeight="1" thickBot="1" x14ac:dyDescent="0.35">
      <c r="A6" s="64" t="s">
        <v>82</v>
      </c>
      <c r="B6" s="77">
        <v>100</v>
      </c>
      <c r="C6" s="132" t="s">
        <v>85</v>
      </c>
      <c r="D6" s="133"/>
      <c r="E6" s="133"/>
      <c r="F6" s="133"/>
      <c r="G6" s="133"/>
      <c r="H6" s="133"/>
      <c r="I6" s="133"/>
      <c r="J6" s="134"/>
    </row>
    <row r="7" spans="1:15" ht="17.25" thickBot="1" x14ac:dyDescent="0.35">
      <c r="A7" s="56"/>
      <c r="C7" s="73"/>
      <c r="D7" s="73"/>
      <c r="E7" s="73"/>
      <c r="F7" s="73"/>
      <c r="G7" s="73"/>
      <c r="H7" s="73"/>
      <c r="I7" s="73"/>
      <c r="J7" s="74"/>
      <c r="L7" s="37"/>
    </row>
    <row r="8" spans="1:15" s="60" customFormat="1" ht="18.75" thickBot="1" x14ac:dyDescent="0.3">
      <c r="A8" s="57" t="s">
        <v>0</v>
      </c>
      <c r="B8" s="58" t="s">
        <v>1</v>
      </c>
      <c r="C8" s="58" t="s">
        <v>74</v>
      </c>
      <c r="D8" s="58" t="s">
        <v>75</v>
      </c>
      <c r="E8" s="58" t="s">
        <v>58</v>
      </c>
      <c r="F8" s="58" t="s">
        <v>18</v>
      </c>
      <c r="G8" s="58" t="s">
        <v>2</v>
      </c>
      <c r="H8" s="58" t="s">
        <v>5</v>
      </c>
      <c r="I8" s="58" t="s">
        <v>3</v>
      </c>
      <c r="J8" s="59" t="s">
        <v>8</v>
      </c>
      <c r="O8" s="61"/>
    </row>
    <row r="9" spans="1:15" ht="20.25" thickBot="1" x14ac:dyDescent="0.45">
      <c r="A9" s="122" t="s">
        <v>67</v>
      </c>
      <c r="B9" s="123"/>
      <c r="C9" s="123"/>
      <c r="D9" s="123"/>
      <c r="E9" s="123"/>
      <c r="F9" s="123"/>
      <c r="G9" s="123"/>
      <c r="H9" s="123"/>
      <c r="I9" s="123"/>
      <c r="J9" s="124"/>
    </row>
    <row r="10" spans="1:15" x14ac:dyDescent="0.3">
      <c r="A10" s="62" t="s">
        <v>4</v>
      </c>
      <c r="B10" s="1">
        <v>2</v>
      </c>
      <c r="C10" s="29">
        <v>24.981999999999999</v>
      </c>
      <c r="D10" s="30">
        <f t="shared" ref="D10:D19" si="0">C10*3</f>
        <v>74.945999999999998</v>
      </c>
      <c r="E10" s="2">
        <v>0.13472222222222222</v>
      </c>
      <c r="F10" s="3">
        <f t="shared" ref="F10:F40" si="1">E10*B10</f>
        <v>0.26944444444444443</v>
      </c>
      <c r="G10" s="4">
        <f t="shared" ref="G10:G41" si="2">(((E10*24)*$B$4*$B$6)*B10)/1000</f>
        <v>0.10217333333333334</v>
      </c>
      <c r="H10" s="5">
        <f>($B$5/1000)*D10*B10</f>
        <v>3.5974080000000002</v>
      </c>
      <c r="I10" s="5">
        <f>G10+H10</f>
        <v>3.6995813333333336</v>
      </c>
      <c r="J10" s="50">
        <f>(I10*20%)+I10</f>
        <v>4.4394976000000002</v>
      </c>
    </row>
    <row r="11" spans="1:15" x14ac:dyDescent="0.3">
      <c r="A11" s="63" t="s">
        <v>27</v>
      </c>
      <c r="B11" s="6">
        <v>1</v>
      </c>
      <c r="C11" s="31">
        <v>26.876999999999999</v>
      </c>
      <c r="D11" s="34">
        <f t="shared" si="0"/>
        <v>80.631</v>
      </c>
      <c r="E11" s="7">
        <v>0.13472222222222222</v>
      </c>
      <c r="F11" s="8">
        <f t="shared" si="1"/>
        <v>0.13472222222222222</v>
      </c>
      <c r="G11" s="9">
        <f t="shared" si="2"/>
        <v>5.1086666666666669E-2</v>
      </c>
      <c r="H11" s="10">
        <f t="shared" ref="H11:H41" si="3">($B$5/1000)*D11*B11</f>
        <v>1.935144</v>
      </c>
      <c r="I11" s="10">
        <f t="shared" ref="I11:I41" si="4">G11+H11</f>
        <v>1.9862306666666667</v>
      </c>
      <c r="J11" s="51">
        <f t="shared" ref="J11:J41" si="5">(I11*20%)+I11</f>
        <v>2.3834768</v>
      </c>
    </row>
    <row r="12" spans="1:15" x14ac:dyDescent="0.3">
      <c r="A12" s="63" t="s">
        <v>28</v>
      </c>
      <c r="B12" s="6">
        <v>1</v>
      </c>
      <c r="C12" s="31">
        <v>25.843</v>
      </c>
      <c r="D12" s="34">
        <f t="shared" si="0"/>
        <v>77.528999999999996</v>
      </c>
      <c r="E12" s="7">
        <v>0.12986111111111112</v>
      </c>
      <c r="F12" s="8">
        <f t="shared" si="1"/>
        <v>0.12986111111111112</v>
      </c>
      <c r="G12" s="9">
        <f t="shared" si="2"/>
        <v>4.924333333333334E-2</v>
      </c>
      <c r="H12" s="10">
        <f t="shared" si="3"/>
        <v>1.8606959999999999</v>
      </c>
      <c r="I12" s="10">
        <f t="shared" si="4"/>
        <v>1.9099393333333332</v>
      </c>
      <c r="J12" s="51">
        <f t="shared" si="5"/>
        <v>2.2919271999999999</v>
      </c>
    </row>
    <row r="13" spans="1:15" x14ac:dyDescent="0.3">
      <c r="A13" s="63" t="s">
        <v>6</v>
      </c>
      <c r="B13" s="6">
        <v>1</v>
      </c>
      <c r="C13" s="31">
        <v>17.093</v>
      </c>
      <c r="D13" s="34">
        <f t="shared" si="0"/>
        <v>51.278999999999996</v>
      </c>
      <c r="E13" s="7">
        <v>0.14305555555555557</v>
      </c>
      <c r="F13" s="8">
        <f t="shared" si="1"/>
        <v>0.14305555555555557</v>
      </c>
      <c r="G13" s="9">
        <f t="shared" si="2"/>
        <v>5.4246666666666679E-2</v>
      </c>
      <c r="H13" s="10">
        <f t="shared" si="3"/>
        <v>1.230696</v>
      </c>
      <c r="I13" s="10">
        <f t="shared" si="4"/>
        <v>1.2849426666666668</v>
      </c>
      <c r="J13" s="51">
        <f t="shared" si="5"/>
        <v>1.5419312000000001</v>
      </c>
    </row>
    <row r="14" spans="1:15" x14ac:dyDescent="0.3">
      <c r="A14" s="63" t="s">
        <v>7</v>
      </c>
      <c r="B14" s="6">
        <v>2</v>
      </c>
      <c r="C14" s="31">
        <v>16.57</v>
      </c>
      <c r="D14" s="34">
        <f t="shared" si="0"/>
        <v>49.71</v>
      </c>
      <c r="E14" s="7">
        <v>8.3333333333333329E-2</v>
      </c>
      <c r="F14" s="8">
        <f t="shared" si="1"/>
        <v>0.16666666666666666</v>
      </c>
      <c r="G14" s="9">
        <f t="shared" si="2"/>
        <v>6.3200000000000006E-2</v>
      </c>
      <c r="H14" s="10">
        <f t="shared" si="3"/>
        <v>2.3860800000000002</v>
      </c>
      <c r="I14" s="10">
        <f t="shared" si="4"/>
        <v>2.4492800000000003</v>
      </c>
      <c r="J14" s="51">
        <f t="shared" si="5"/>
        <v>2.9391360000000004</v>
      </c>
    </row>
    <row r="15" spans="1:15" x14ac:dyDescent="0.3">
      <c r="A15" s="63" t="s">
        <v>9</v>
      </c>
      <c r="B15" s="6">
        <v>2</v>
      </c>
      <c r="C15" s="31">
        <v>2.722</v>
      </c>
      <c r="D15" s="34">
        <f t="shared" si="0"/>
        <v>8.1660000000000004</v>
      </c>
      <c r="E15" s="7">
        <v>1.9444444444444445E-2</v>
      </c>
      <c r="F15" s="8">
        <f t="shared" si="1"/>
        <v>3.888888888888889E-2</v>
      </c>
      <c r="G15" s="9">
        <f t="shared" si="2"/>
        <v>1.4746666666666667E-2</v>
      </c>
      <c r="H15" s="10">
        <f t="shared" si="3"/>
        <v>0.39196800000000004</v>
      </c>
      <c r="I15" s="10">
        <f t="shared" si="4"/>
        <v>0.40671466666666672</v>
      </c>
      <c r="J15" s="51">
        <f t="shared" si="5"/>
        <v>0.48805760000000009</v>
      </c>
    </row>
    <row r="16" spans="1:15" x14ac:dyDescent="0.3">
      <c r="A16" s="63" t="s">
        <v>11</v>
      </c>
      <c r="B16" s="6">
        <v>2</v>
      </c>
      <c r="C16" s="31">
        <v>10.694000000000001</v>
      </c>
      <c r="D16" s="34">
        <f t="shared" si="0"/>
        <v>32.082000000000001</v>
      </c>
      <c r="E16" s="7">
        <v>5.9722222222222225E-2</v>
      </c>
      <c r="F16" s="8">
        <f t="shared" si="1"/>
        <v>0.11944444444444445</v>
      </c>
      <c r="G16" s="9">
        <f t="shared" si="2"/>
        <v>4.5293333333333338E-2</v>
      </c>
      <c r="H16" s="10">
        <f t="shared" si="3"/>
        <v>1.539936</v>
      </c>
      <c r="I16" s="10">
        <f t="shared" si="4"/>
        <v>1.5852293333333334</v>
      </c>
      <c r="J16" s="51">
        <f t="shared" si="5"/>
        <v>1.9022752000000001</v>
      </c>
    </row>
    <row r="17" spans="1:10" x14ac:dyDescent="0.3">
      <c r="A17" s="63" t="s">
        <v>10</v>
      </c>
      <c r="B17" s="6">
        <v>7</v>
      </c>
      <c r="C17" s="31">
        <v>1.512</v>
      </c>
      <c r="D17" s="34">
        <f t="shared" si="0"/>
        <v>4.5359999999999996</v>
      </c>
      <c r="E17" s="7">
        <v>1.5277777777777777E-2</v>
      </c>
      <c r="F17" s="8">
        <f t="shared" si="1"/>
        <v>0.10694444444444444</v>
      </c>
      <c r="G17" s="9">
        <f t="shared" si="2"/>
        <v>4.055333333333333E-2</v>
      </c>
      <c r="H17" s="10">
        <f t="shared" si="3"/>
        <v>0.76204799999999995</v>
      </c>
      <c r="I17" s="10">
        <f t="shared" si="4"/>
        <v>0.80260133333333328</v>
      </c>
      <c r="J17" s="51">
        <f t="shared" si="5"/>
        <v>0.96312159999999991</v>
      </c>
    </row>
    <row r="18" spans="1:10" x14ac:dyDescent="0.3">
      <c r="A18" s="63" t="s">
        <v>26</v>
      </c>
      <c r="B18" s="6">
        <v>7</v>
      </c>
      <c r="C18" s="31">
        <v>0.249</v>
      </c>
      <c r="D18" s="34">
        <f t="shared" si="0"/>
        <v>0.747</v>
      </c>
      <c r="E18" s="7">
        <v>2.7777777777777779E-3</v>
      </c>
      <c r="F18" s="8">
        <f t="shared" si="1"/>
        <v>1.9444444444444445E-2</v>
      </c>
      <c r="G18" s="9">
        <f t="shared" si="2"/>
        <v>7.3733333333333342E-3</v>
      </c>
      <c r="H18" s="10">
        <f t="shared" si="3"/>
        <v>0.125496</v>
      </c>
      <c r="I18" s="10">
        <f t="shared" si="4"/>
        <v>0.13286933333333334</v>
      </c>
      <c r="J18" s="51">
        <f t="shared" si="5"/>
        <v>0.15944320000000001</v>
      </c>
    </row>
    <row r="19" spans="1:10" x14ac:dyDescent="0.3">
      <c r="A19" s="63" t="s">
        <v>12</v>
      </c>
      <c r="B19" s="6">
        <v>2</v>
      </c>
      <c r="C19" s="31">
        <v>3.7639999999999998</v>
      </c>
      <c r="D19" s="34">
        <f t="shared" si="0"/>
        <v>11.292</v>
      </c>
      <c r="E19" s="7">
        <v>3.7499999999999999E-2</v>
      </c>
      <c r="F19" s="8">
        <f t="shared" si="1"/>
        <v>7.4999999999999997E-2</v>
      </c>
      <c r="G19" s="9">
        <f t="shared" si="2"/>
        <v>2.8439999999999997E-2</v>
      </c>
      <c r="H19" s="10">
        <f t="shared" si="3"/>
        <v>0.54201600000000005</v>
      </c>
      <c r="I19" s="10">
        <f t="shared" si="4"/>
        <v>0.57045600000000007</v>
      </c>
      <c r="J19" s="51">
        <f t="shared" si="5"/>
        <v>0.68454720000000013</v>
      </c>
    </row>
    <row r="20" spans="1:10" x14ac:dyDescent="0.3">
      <c r="A20" s="63" t="s">
        <v>13</v>
      </c>
      <c r="B20" s="6">
        <v>1</v>
      </c>
      <c r="C20" s="31">
        <v>30.48</v>
      </c>
      <c r="D20" s="34">
        <f>C20*3</f>
        <v>91.44</v>
      </c>
      <c r="E20" s="7">
        <v>0.21111111111111111</v>
      </c>
      <c r="F20" s="8">
        <f t="shared" si="1"/>
        <v>0.21111111111111111</v>
      </c>
      <c r="G20" s="9">
        <f t="shared" si="2"/>
        <v>8.0053333333333324E-2</v>
      </c>
      <c r="H20" s="10">
        <f t="shared" si="3"/>
        <v>2.1945600000000001</v>
      </c>
      <c r="I20" s="10">
        <f t="shared" si="4"/>
        <v>2.2746133333333334</v>
      </c>
      <c r="J20" s="51">
        <f t="shared" si="5"/>
        <v>2.729536</v>
      </c>
    </row>
    <row r="21" spans="1:10" x14ac:dyDescent="0.3">
      <c r="A21" s="63" t="s">
        <v>14</v>
      </c>
      <c r="B21" s="6">
        <v>1</v>
      </c>
      <c r="C21" s="31">
        <v>28.474</v>
      </c>
      <c r="D21" s="34">
        <f t="shared" ref="D21:D41" si="6">C21*3</f>
        <v>85.421999999999997</v>
      </c>
      <c r="E21" s="7">
        <v>0.26180555555555557</v>
      </c>
      <c r="F21" s="8">
        <f t="shared" si="1"/>
        <v>0.26180555555555557</v>
      </c>
      <c r="G21" s="9">
        <f t="shared" si="2"/>
        <v>9.9276666666666666E-2</v>
      </c>
      <c r="H21" s="10">
        <f t="shared" si="3"/>
        <v>2.050128</v>
      </c>
      <c r="I21" s="10">
        <f t="shared" si="4"/>
        <v>2.1494046666666664</v>
      </c>
      <c r="J21" s="51">
        <f t="shared" si="5"/>
        <v>2.5792855999999995</v>
      </c>
    </row>
    <row r="22" spans="1:10" x14ac:dyDescent="0.3">
      <c r="A22" s="63" t="s">
        <v>30</v>
      </c>
      <c r="B22" s="6">
        <v>1</v>
      </c>
      <c r="C22" s="31">
        <v>24.196999999999999</v>
      </c>
      <c r="D22" s="34">
        <f t="shared" si="6"/>
        <v>72.590999999999994</v>
      </c>
      <c r="E22" s="7">
        <v>0.15138888888888888</v>
      </c>
      <c r="F22" s="8">
        <f t="shared" si="1"/>
        <v>0.15138888888888888</v>
      </c>
      <c r="G22" s="9">
        <f t="shared" si="2"/>
        <v>5.7406666666666661E-2</v>
      </c>
      <c r="H22" s="10">
        <f t="shared" si="3"/>
        <v>1.742184</v>
      </c>
      <c r="I22" s="10">
        <f t="shared" si="4"/>
        <v>1.7995906666666666</v>
      </c>
      <c r="J22" s="51">
        <f t="shared" si="5"/>
        <v>2.1595087999999998</v>
      </c>
    </row>
    <row r="23" spans="1:10" x14ac:dyDescent="0.3">
      <c r="A23" s="63" t="s">
        <v>31</v>
      </c>
      <c r="B23" s="6">
        <v>1</v>
      </c>
      <c r="C23" s="31">
        <v>25.045999999999999</v>
      </c>
      <c r="D23" s="34">
        <f t="shared" si="6"/>
        <v>75.138000000000005</v>
      </c>
      <c r="E23" s="7">
        <v>0.13958333333333334</v>
      </c>
      <c r="F23" s="8">
        <f t="shared" si="1"/>
        <v>0.13958333333333334</v>
      </c>
      <c r="G23" s="9">
        <f t="shared" si="2"/>
        <v>5.2929999999999998E-2</v>
      </c>
      <c r="H23" s="10">
        <f t="shared" si="3"/>
        <v>1.8033120000000002</v>
      </c>
      <c r="I23" s="10">
        <f t="shared" si="4"/>
        <v>1.8562420000000002</v>
      </c>
      <c r="J23" s="51">
        <f t="shared" si="5"/>
        <v>2.2274904000000002</v>
      </c>
    </row>
    <row r="24" spans="1:10" x14ac:dyDescent="0.3">
      <c r="A24" s="63" t="s">
        <v>32</v>
      </c>
      <c r="B24" s="6">
        <v>2</v>
      </c>
      <c r="C24" s="31">
        <v>2.3340000000000001</v>
      </c>
      <c r="D24" s="34">
        <f t="shared" si="6"/>
        <v>7.0020000000000007</v>
      </c>
      <c r="E24" s="7">
        <v>2.2916666666666669E-2</v>
      </c>
      <c r="F24" s="8">
        <f t="shared" si="1"/>
        <v>4.5833333333333337E-2</v>
      </c>
      <c r="G24" s="9">
        <f t="shared" si="2"/>
        <v>1.7380000000000003E-2</v>
      </c>
      <c r="H24" s="10">
        <f t="shared" si="3"/>
        <v>0.33609600000000006</v>
      </c>
      <c r="I24" s="10">
        <f t="shared" si="4"/>
        <v>0.35347600000000007</v>
      </c>
      <c r="J24" s="51">
        <f t="shared" si="5"/>
        <v>0.42417120000000008</v>
      </c>
    </row>
    <row r="25" spans="1:10" x14ac:dyDescent="0.3">
      <c r="A25" s="63" t="s">
        <v>15</v>
      </c>
      <c r="B25" s="6">
        <v>2</v>
      </c>
      <c r="C25" s="31">
        <v>0.82899999999999996</v>
      </c>
      <c r="D25" s="34">
        <f t="shared" si="6"/>
        <v>2.4870000000000001</v>
      </c>
      <c r="E25" s="7">
        <v>6.2499999999999995E-3</v>
      </c>
      <c r="F25" s="8">
        <f t="shared" si="1"/>
        <v>1.2499999999999999E-2</v>
      </c>
      <c r="G25" s="9">
        <f t="shared" si="2"/>
        <v>4.7400000000000003E-3</v>
      </c>
      <c r="H25" s="10">
        <f t="shared" si="3"/>
        <v>0.11937600000000001</v>
      </c>
      <c r="I25" s="10">
        <f t="shared" si="4"/>
        <v>0.124116</v>
      </c>
      <c r="J25" s="51">
        <f t="shared" si="5"/>
        <v>0.14893919999999999</v>
      </c>
    </row>
    <row r="26" spans="1:10" x14ac:dyDescent="0.3">
      <c r="A26" s="63" t="s">
        <v>16</v>
      </c>
      <c r="B26" s="6">
        <v>2</v>
      </c>
      <c r="C26" s="31">
        <v>11.898999999999999</v>
      </c>
      <c r="D26" s="34">
        <f t="shared" si="6"/>
        <v>35.696999999999996</v>
      </c>
      <c r="E26" s="7">
        <v>7.7083333333333337E-2</v>
      </c>
      <c r="F26" s="8">
        <f t="shared" si="1"/>
        <v>0.15416666666666667</v>
      </c>
      <c r="G26" s="9">
        <f t="shared" si="2"/>
        <v>5.8459999999999998E-2</v>
      </c>
      <c r="H26" s="10">
        <f t="shared" si="3"/>
        <v>1.7134559999999999</v>
      </c>
      <c r="I26" s="10">
        <f t="shared" si="4"/>
        <v>1.7719159999999998</v>
      </c>
      <c r="J26" s="51">
        <f t="shared" si="5"/>
        <v>2.1262992000000001</v>
      </c>
    </row>
    <row r="27" spans="1:10" x14ac:dyDescent="0.3">
      <c r="A27" s="63" t="s">
        <v>17</v>
      </c>
      <c r="B27" s="6">
        <v>1</v>
      </c>
      <c r="C27" s="31">
        <v>4.7370000000000001</v>
      </c>
      <c r="D27" s="34">
        <f t="shared" si="6"/>
        <v>14.211</v>
      </c>
      <c r="E27" s="7">
        <v>2.7777777777777776E-2</v>
      </c>
      <c r="F27" s="8">
        <f t="shared" si="1"/>
        <v>2.7777777777777776E-2</v>
      </c>
      <c r="G27" s="9">
        <f t="shared" si="2"/>
        <v>1.0533333333333334E-2</v>
      </c>
      <c r="H27" s="10">
        <f t="shared" si="3"/>
        <v>0.34106400000000003</v>
      </c>
      <c r="I27" s="10">
        <f t="shared" si="4"/>
        <v>0.35159733333333337</v>
      </c>
      <c r="J27" s="51">
        <f t="shared" si="5"/>
        <v>0.42191680000000004</v>
      </c>
    </row>
    <row r="28" spans="1:10" x14ac:dyDescent="0.3">
      <c r="A28" s="63" t="s">
        <v>19</v>
      </c>
      <c r="B28" s="6">
        <v>1</v>
      </c>
      <c r="C28" s="31">
        <v>4.1210000000000004</v>
      </c>
      <c r="D28" s="34">
        <f t="shared" si="6"/>
        <v>12.363000000000001</v>
      </c>
      <c r="E28" s="7">
        <v>2.7777777777777776E-2</v>
      </c>
      <c r="F28" s="8">
        <f t="shared" si="1"/>
        <v>2.7777777777777776E-2</v>
      </c>
      <c r="G28" s="9">
        <f t="shared" si="2"/>
        <v>1.0533333333333334E-2</v>
      </c>
      <c r="H28" s="10">
        <f t="shared" si="3"/>
        <v>0.29671200000000003</v>
      </c>
      <c r="I28" s="10">
        <f t="shared" si="4"/>
        <v>0.30724533333333337</v>
      </c>
      <c r="J28" s="51">
        <f t="shared" si="5"/>
        <v>0.36869440000000003</v>
      </c>
    </row>
    <row r="29" spans="1:10" x14ac:dyDescent="0.3">
      <c r="A29" s="63" t="s">
        <v>20</v>
      </c>
      <c r="B29" s="6">
        <v>1</v>
      </c>
      <c r="C29" s="31">
        <v>5.0419999999999998</v>
      </c>
      <c r="D29" s="34">
        <f t="shared" si="6"/>
        <v>15.125999999999999</v>
      </c>
      <c r="E29" s="7">
        <v>3.0555555555555555E-2</v>
      </c>
      <c r="F29" s="8">
        <f t="shared" si="1"/>
        <v>3.0555555555555555E-2</v>
      </c>
      <c r="G29" s="9">
        <f t="shared" si="2"/>
        <v>1.1586666666666665E-2</v>
      </c>
      <c r="H29" s="10">
        <f t="shared" si="3"/>
        <v>0.36302400000000001</v>
      </c>
      <c r="I29" s="10">
        <f t="shared" si="4"/>
        <v>0.3746106666666667</v>
      </c>
      <c r="J29" s="51">
        <f t="shared" si="5"/>
        <v>0.44953280000000007</v>
      </c>
    </row>
    <row r="30" spans="1:10" x14ac:dyDescent="0.3">
      <c r="A30" s="63" t="s">
        <v>22</v>
      </c>
      <c r="B30" s="6">
        <v>1</v>
      </c>
      <c r="C30" s="31">
        <v>2.3069999999999999</v>
      </c>
      <c r="D30" s="34">
        <f t="shared" si="6"/>
        <v>6.9209999999999994</v>
      </c>
      <c r="E30" s="7">
        <v>1.5277777777777777E-2</v>
      </c>
      <c r="F30" s="8">
        <f t="shared" si="1"/>
        <v>1.5277777777777777E-2</v>
      </c>
      <c r="G30" s="9">
        <f t="shared" si="2"/>
        <v>5.7933333333333326E-3</v>
      </c>
      <c r="H30" s="10">
        <f t="shared" si="3"/>
        <v>0.166104</v>
      </c>
      <c r="I30" s="10">
        <f t="shared" si="4"/>
        <v>0.17189733333333335</v>
      </c>
      <c r="J30" s="51">
        <f t="shared" si="5"/>
        <v>0.20627680000000001</v>
      </c>
    </row>
    <row r="31" spans="1:10" x14ac:dyDescent="0.3">
      <c r="A31" s="63" t="s">
        <v>23</v>
      </c>
      <c r="B31" s="6">
        <v>1</v>
      </c>
      <c r="C31" s="31">
        <v>17.317</v>
      </c>
      <c r="D31" s="34">
        <f t="shared" si="6"/>
        <v>51.951000000000001</v>
      </c>
      <c r="E31" s="7">
        <v>0.10694444444444444</v>
      </c>
      <c r="F31" s="8">
        <f t="shared" si="1"/>
        <v>0.10694444444444444</v>
      </c>
      <c r="G31" s="9">
        <f t="shared" si="2"/>
        <v>4.055333333333333E-2</v>
      </c>
      <c r="H31" s="10">
        <f t="shared" si="3"/>
        <v>1.2468239999999999</v>
      </c>
      <c r="I31" s="10">
        <f t="shared" si="4"/>
        <v>1.2873773333333332</v>
      </c>
      <c r="J31" s="51">
        <f t="shared" si="5"/>
        <v>1.5448527999999997</v>
      </c>
    </row>
    <row r="32" spans="1:10" x14ac:dyDescent="0.3">
      <c r="A32" s="63" t="s">
        <v>24</v>
      </c>
      <c r="B32" s="6">
        <v>1</v>
      </c>
      <c r="C32" s="31">
        <v>9.9540000000000006</v>
      </c>
      <c r="D32" s="34">
        <f t="shared" si="6"/>
        <v>29.862000000000002</v>
      </c>
      <c r="E32" s="7">
        <v>6.25E-2</v>
      </c>
      <c r="F32" s="8">
        <f t="shared" si="1"/>
        <v>6.25E-2</v>
      </c>
      <c r="G32" s="9">
        <f t="shared" si="2"/>
        <v>2.3699999999999999E-2</v>
      </c>
      <c r="H32" s="10">
        <f t="shared" si="3"/>
        <v>0.7166880000000001</v>
      </c>
      <c r="I32" s="10">
        <f t="shared" si="4"/>
        <v>0.74038800000000005</v>
      </c>
      <c r="J32" s="51">
        <f t="shared" si="5"/>
        <v>0.88846560000000008</v>
      </c>
    </row>
    <row r="33" spans="1:10" x14ac:dyDescent="0.3">
      <c r="A33" s="63" t="s">
        <v>38</v>
      </c>
      <c r="B33" s="6">
        <v>1</v>
      </c>
      <c r="C33" s="31">
        <v>3.6110000000000002</v>
      </c>
      <c r="D33" s="34">
        <f t="shared" si="6"/>
        <v>10.833</v>
      </c>
      <c r="E33" s="7">
        <v>3.3333333333333333E-2</v>
      </c>
      <c r="F33" s="8">
        <f t="shared" si="1"/>
        <v>3.3333333333333333E-2</v>
      </c>
      <c r="G33" s="9">
        <f t="shared" si="2"/>
        <v>1.264E-2</v>
      </c>
      <c r="H33" s="10">
        <f t="shared" si="3"/>
        <v>0.259992</v>
      </c>
      <c r="I33" s="10">
        <f t="shared" si="4"/>
        <v>0.27263199999999999</v>
      </c>
      <c r="J33" s="51">
        <f t="shared" si="5"/>
        <v>0.32715839999999996</v>
      </c>
    </row>
    <row r="34" spans="1:10" x14ac:dyDescent="0.3">
      <c r="A34" s="63" t="s">
        <v>25</v>
      </c>
      <c r="B34" s="6">
        <v>1</v>
      </c>
      <c r="C34" s="31">
        <v>0.11700000000000001</v>
      </c>
      <c r="D34" s="34">
        <f t="shared" si="6"/>
        <v>0.35100000000000003</v>
      </c>
      <c r="E34" s="7">
        <v>1.3888888888888889E-3</v>
      </c>
      <c r="F34" s="8">
        <f t="shared" si="1"/>
        <v>1.3888888888888889E-3</v>
      </c>
      <c r="G34" s="9">
        <f t="shared" si="2"/>
        <v>5.2666666666666671E-4</v>
      </c>
      <c r="H34" s="10">
        <f t="shared" si="3"/>
        <v>8.4240000000000009E-3</v>
      </c>
      <c r="I34" s="10">
        <f t="shared" si="4"/>
        <v>8.9506666666666675E-3</v>
      </c>
      <c r="J34" s="51">
        <f t="shared" si="5"/>
        <v>1.0740800000000002E-2</v>
      </c>
    </row>
    <row r="35" spans="1:10" x14ac:dyDescent="0.3">
      <c r="A35" s="63" t="s">
        <v>29</v>
      </c>
      <c r="B35" s="6">
        <v>1</v>
      </c>
      <c r="C35" s="31">
        <v>9.3040000000000003</v>
      </c>
      <c r="D35" s="34">
        <f t="shared" si="6"/>
        <v>27.911999999999999</v>
      </c>
      <c r="E35" s="7">
        <v>5.5555555555555552E-2</v>
      </c>
      <c r="F35" s="8">
        <f t="shared" si="1"/>
        <v>5.5555555555555552E-2</v>
      </c>
      <c r="G35" s="9">
        <f t="shared" si="2"/>
        <v>2.1066666666666668E-2</v>
      </c>
      <c r="H35" s="10">
        <f t="shared" si="3"/>
        <v>0.66988800000000004</v>
      </c>
      <c r="I35" s="10">
        <f t="shared" si="4"/>
        <v>0.69095466666666672</v>
      </c>
      <c r="J35" s="51">
        <f t="shared" si="5"/>
        <v>0.82914560000000004</v>
      </c>
    </row>
    <row r="36" spans="1:10" x14ac:dyDescent="0.3">
      <c r="A36" s="63" t="s">
        <v>33</v>
      </c>
      <c r="B36" s="6">
        <v>1</v>
      </c>
      <c r="C36" s="31">
        <v>10.335000000000001</v>
      </c>
      <c r="D36" s="34">
        <f t="shared" si="6"/>
        <v>31.005000000000003</v>
      </c>
      <c r="E36" s="7">
        <v>7.8472222222222221E-2</v>
      </c>
      <c r="F36" s="8">
        <f t="shared" si="1"/>
        <v>7.8472222222222221E-2</v>
      </c>
      <c r="G36" s="9">
        <f t="shared" si="2"/>
        <v>2.9756666666666664E-2</v>
      </c>
      <c r="H36" s="10">
        <f t="shared" si="3"/>
        <v>0.74412000000000011</v>
      </c>
      <c r="I36" s="10">
        <f t="shared" si="4"/>
        <v>0.77387666666666677</v>
      </c>
      <c r="J36" s="51">
        <f t="shared" si="5"/>
        <v>0.92865200000000014</v>
      </c>
    </row>
    <row r="37" spans="1:10" x14ac:dyDescent="0.3">
      <c r="A37" s="63" t="s">
        <v>34</v>
      </c>
      <c r="B37" s="6">
        <v>1</v>
      </c>
      <c r="C37" s="31">
        <v>1.6819999999999999</v>
      </c>
      <c r="D37" s="34">
        <f t="shared" si="6"/>
        <v>5.0459999999999994</v>
      </c>
      <c r="E37" s="7">
        <v>1.8055555555555557E-2</v>
      </c>
      <c r="F37" s="8">
        <f t="shared" si="1"/>
        <v>1.8055555555555557E-2</v>
      </c>
      <c r="G37" s="9">
        <f t="shared" si="2"/>
        <v>6.8466666666666676E-3</v>
      </c>
      <c r="H37" s="10">
        <f t="shared" si="3"/>
        <v>0.12110399999999999</v>
      </c>
      <c r="I37" s="10">
        <f t="shared" si="4"/>
        <v>0.12795066666666666</v>
      </c>
      <c r="J37" s="51">
        <f t="shared" si="5"/>
        <v>0.15354079999999998</v>
      </c>
    </row>
    <row r="38" spans="1:10" x14ac:dyDescent="0.3">
      <c r="A38" s="63" t="s">
        <v>35</v>
      </c>
      <c r="B38" s="6">
        <v>1</v>
      </c>
      <c r="C38" s="31">
        <v>16.402000000000001</v>
      </c>
      <c r="D38" s="34">
        <f t="shared" si="6"/>
        <v>49.206000000000003</v>
      </c>
      <c r="E38" s="7">
        <v>0.11319444444444444</v>
      </c>
      <c r="F38" s="8">
        <f t="shared" si="1"/>
        <v>0.11319444444444444</v>
      </c>
      <c r="G38" s="9">
        <f t="shared" si="2"/>
        <v>4.2923333333333334E-2</v>
      </c>
      <c r="H38" s="10">
        <f t="shared" si="3"/>
        <v>1.180944</v>
      </c>
      <c r="I38" s="10">
        <f t="shared" si="4"/>
        <v>1.2238673333333334</v>
      </c>
      <c r="J38" s="51">
        <f t="shared" si="5"/>
        <v>1.4686408000000002</v>
      </c>
    </row>
    <row r="39" spans="1:10" x14ac:dyDescent="0.3">
      <c r="A39" s="63" t="s">
        <v>36</v>
      </c>
      <c r="B39" s="6">
        <v>1</v>
      </c>
      <c r="C39" s="31">
        <v>1.0009999999999999</v>
      </c>
      <c r="D39" s="34">
        <f t="shared" si="6"/>
        <v>3.0029999999999997</v>
      </c>
      <c r="E39" s="7">
        <v>8.3333333333333332E-3</v>
      </c>
      <c r="F39" s="8">
        <f t="shared" si="1"/>
        <v>8.3333333333333332E-3</v>
      </c>
      <c r="G39" s="9">
        <f t="shared" si="2"/>
        <v>3.16E-3</v>
      </c>
      <c r="H39" s="10">
        <f t="shared" si="3"/>
        <v>7.2071999999999997E-2</v>
      </c>
      <c r="I39" s="10">
        <f t="shared" si="4"/>
        <v>7.5231999999999993E-2</v>
      </c>
      <c r="J39" s="51">
        <f t="shared" si="5"/>
        <v>9.0278399999999995E-2</v>
      </c>
    </row>
    <row r="40" spans="1:10" x14ac:dyDescent="0.3">
      <c r="A40" s="63" t="s">
        <v>37</v>
      </c>
      <c r="B40" s="6">
        <v>1</v>
      </c>
      <c r="C40" s="31">
        <v>0.746</v>
      </c>
      <c r="D40" s="34">
        <f t="shared" si="6"/>
        <v>2.238</v>
      </c>
      <c r="E40" s="7">
        <v>6.9444444444444441E-3</v>
      </c>
      <c r="F40" s="8">
        <f t="shared" si="1"/>
        <v>6.9444444444444441E-3</v>
      </c>
      <c r="G40" s="9">
        <f t="shared" si="2"/>
        <v>2.6333333333333334E-3</v>
      </c>
      <c r="H40" s="10">
        <f t="shared" si="3"/>
        <v>5.3712000000000003E-2</v>
      </c>
      <c r="I40" s="10">
        <f t="shared" si="4"/>
        <v>5.6345333333333338E-2</v>
      </c>
      <c r="J40" s="51">
        <f t="shared" si="5"/>
        <v>6.7614400000000005E-2</v>
      </c>
    </row>
    <row r="41" spans="1:10" ht="17.25" thickBot="1" x14ac:dyDescent="0.35">
      <c r="A41" s="64" t="s">
        <v>21</v>
      </c>
      <c r="B41" s="11">
        <v>1</v>
      </c>
      <c r="C41" s="32">
        <v>5.0419999999999998</v>
      </c>
      <c r="D41" s="35">
        <f t="shared" si="6"/>
        <v>15.125999999999999</v>
      </c>
      <c r="E41" s="12">
        <v>2.5694444444444447E-2</v>
      </c>
      <c r="F41" s="13">
        <v>3.2638888888888891E-2</v>
      </c>
      <c r="G41" s="14">
        <f t="shared" si="2"/>
        <v>9.7433333333333347E-3</v>
      </c>
      <c r="H41" s="15">
        <f t="shared" si="3"/>
        <v>0.36302400000000001</v>
      </c>
      <c r="I41" s="15">
        <f t="shared" si="4"/>
        <v>0.37276733333333334</v>
      </c>
      <c r="J41" s="52">
        <f t="shared" si="5"/>
        <v>0.44732080000000002</v>
      </c>
    </row>
    <row r="42" spans="1:10" ht="23.25" thickBot="1" x14ac:dyDescent="0.5">
      <c r="A42" s="56"/>
      <c r="B42" s="16" t="s">
        <v>44</v>
      </c>
      <c r="C42" s="33">
        <f>SUM(C10:C41)</f>
        <v>345.2829999999999</v>
      </c>
      <c r="D42" s="36">
        <f>SUM(D10:D41)</f>
        <v>1035.8490000000002</v>
      </c>
      <c r="E42" s="17">
        <f>SUM(E10:E41)</f>
        <v>2.2423611111111112</v>
      </c>
      <c r="F42" s="17">
        <f>SUM(F10:F40)</f>
        <v>2.7659722222222221</v>
      </c>
      <c r="G42" s="18">
        <f>SUM(G10:G41)</f>
        <v>1.0586000000000002</v>
      </c>
      <c r="H42" s="18">
        <f>SUM(H10:H41)</f>
        <v>30.934296000000007</v>
      </c>
      <c r="I42" s="18">
        <f>SUM(I10:I40)</f>
        <v>31.620128666666673</v>
      </c>
      <c r="J42" s="19">
        <f>SUM(J10:J40)</f>
        <v>37.944154400000009</v>
      </c>
    </row>
    <row r="43" spans="1:10" ht="20.25" thickBot="1" x14ac:dyDescent="0.35">
      <c r="A43" s="103" t="s">
        <v>47</v>
      </c>
      <c r="B43" s="104"/>
      <c r="C43" s="104"/>
      <c r="D43" s="104"/>
      <c r="E43" s="104"/>
      <c r="F43" s="104"/>
      <c r="G43" s="104"/>
      <c r="H43" s="104"/>
      <c r="I43" s="104"/>
      <c r="J43" s="105"/>
    </row>
    <row r="44" spans="1:10" x14ac:dyDescent="0.3">
      <c r="A44" s="62" t="s">
        <v>59</v>
      </c>
      <c r="B44" s="1">
        <v>1</v>
      </c>
      <c r="C44" s="29">
        <v>4.149</v>
      </c>
      <c r="D44" s="30">
        <f t="shared" ref="D44:D45" si="7">C44*3</f>
        <v>12.446999999999999</v>
      </c>
      <c r="E44" s="2">
        <v>3.7499999999999999E-2</v>
      </c>
      <c r="F44" s="3">
        <f>E44*B44</f>
        <v>3.7499999999999999E-2</v>
      </c>
      <c r="G44" s="4">
        <f>(((E44*24)*$B$4*$B$6)*B44)/1000</f>
        <v>1.4219999999999998E-2</v>
      </c>
      <c r="H44" s="5">
        <f>($B$5/1000)*D44*B44</f>
        <v>0.29872799999999999</v>
      </c>
      <c r="I44" s="5">
        <f>G44+H44</f>
        <v>0.312948</v>
      </c>
      <c r="J44" s="50">
        <f>(I44*20%)+I44</f>
        <v>0.37553760000000003</v>
      </c>
    </row>
    <row r="45" spans="1:10" ht="17.25" thickBot="1" x14ac:dyDescent="0.35">
      <c r="A45" s="65" t="s">
        <v>60</v>
      </c>
      <c r="B45" s="20">
        <v>1</v>
      </c>
      <c r="C45" s="38">
        <v>10.535</v>
      </c>
      <c r="D45" s="40">
        <f t="shared" si="7"/>
        <v>31.605</v>
      </c>
      <c r="E45" s="21">
        <v>0.10833333333333334</v>
      </c>
      <c r="F45" s="22">
        <f>E45*B45</f>
        <v>0.10833333333333334</v>
      </c>
      <c r="G45" s="23">
        <f>(((E45*24)*$B$4*$B$6)*B45)/1000</f>
        <v>4.1079999999999998E-2</v>
      </c>
      <c r="H45" s="24">
        <f t="shared" ref="H45" si="8">($B$5/1000)*D45*B45</f>
        <v>0.75851999999999997</v>
      </c>
      <c r="I45" s="24">
        <f t="shared" ref="I45" si="9">G45+H45</f>
        <v>0.79959999999999998</v>
      </c>
      <c r="J45" s="53">
        <f t="shared" ref="J45" si="10">(I45*20%)+I45</f>
        <v>0.95951999999999993</v>
      </c>
    </row>
    <row r="46" spans="1:10" ht="23.25" thickBot="1" x14ac:dyDescent="0.5">
      <c r="A46" s="66"/>
      <c r="B46" s="25" t="s">
        <v>44</v>
      </c>
      <c r="C46" s="39">
        <f>SUM(C44:C45)</f>
        <v>14.684000000000001</v>
      </c>
      <c r="D46" s="41">
        <f t="shared" ref="D46:I46" si="11">SUM(D44:D45)</f>
        <v>44.052</v>
      </c>
      <c r="E46" s="42">
        <f t="shared" si="11"/>
        <v>0.14583333333333334</v>
      </c>
      <c r="F46" s="42">
        <f t="shared" si="11"/>
        <v>0.14583333333333334</v>
      </c>
      <c r="G46" s="43">
        <f t="shared" si="11"/>
        <v>5.5299999999999995E-2</v>
      </c>
      <c r="H46" s="44">
        <f t="shared" si="11"/>
        <v>1.057248</v>
      </c>
      <c r="I46" s="44">
        <f t="shared" si="11"/>
        <v>1.1125479999999999</v>
      </c>
      <c r="J46" s="26">
        <f>SUM(J44:J45)</f>
        <v>1.3350575999999998</v>
      </c>
    </row>
    <row r="47" spans="1:10" ht="23.25" thickBot="1" x14ac:dyDescent="0.5">
      <c r="A47" s="56"/>
      <c r="B47" s="27"/>
      <c r="C47" s="28"/>
      <c r="D47" s="28"/>
      <c r="E47" s="28"/>
      <c r="F47" s="28"/>
      <c r="G47" s="28"/>
      <c r="H47" s="28"/>
      <c r="I47" s="28"/>
      <c r="J47" s="84"/>
    </row>
    <row r="48" spans="1:10" ht="23.25" thickBot="1" x14ac:dyDescent="0.35">
      <c r="A48" s="112" t="s">
        <v>41</v>
      </c>
      <c r="B48" s="113"/>
      <c r="C48" s="113"/>
      <c r="D48" s="113"/>
      <c r="E48" s="113"/>
      <c r="F48" s="113"/>
      <c r="G48" s="113"/>
      <c r="H48" s="113"/>
      <c r="I48" s="113"/>
      <c r="J48" s="114"/>
    </row>
    <row r="49" spans="1:10" ht="21.75" thickBot="1" x14ac:dyDescent="0.35">
      <c r="A49" s="115" t="s">
        <v>42</v>
      </c>
      <c r="B49" s="116"/>
      <c r="C49" s="116"/>
      <c r="D49" s="116"/>
      <c r="E49" s="116"/>
      <c r="F49" s="116"/>
      <c r="G49" s="116"/>
      <c r="H49" s="116"/>
      <c r="I49" s="116"/>
      <c r="J49" s="117"/>
    </row>
    <row r="50" spans="1:10" x14ac:dyDescent="0.3">
      <c r="A50" s="87" t="s">
        <v>61</v>
      </c>
      <c r="B50" s="88">
        <v>7.18</v>
      </c>
      <c r="C50" s="118" t="s">
        <v>73</v>
      </c>
      <c r="D50" s="118"/>
      <c r="E50" s="118"/>
      <c r="F50" s="118"/>
      <c r="G50" s="118"/>
      <c r="H50" s="118"/>
      <c r="I50" s="118"/>
      <c r="J50" s="119"/>
    </row>
    <row r="51" spans="1:10" x14ac:dyDescent="0.3">
      <c r="A51" s="63" t="s">
        <v>87</v>
      </c>
      <c r="B51" s="80">
        <v>1.38</v>
      </c>
      <c r="C51" s="95" t="s">
        <v>86</v>
      </c>
      <c r="D51" s="96"/>
      <c r="E51" s="96"/>
      <c r="F51" s="96"/>
      <c r="G51" s="96"/>
      <c r="H51" s="96"/>
      <c r="I51" s="96"/>
      <c r="J51" s="97"/>
    </row>
    <row r="52" spans="1:10" x14ac:dyDescent="0.3">
      <c r="A52" s="85" t="s">
        <v>62</v>
      </c>
      <c r="B52" s="86">
        <v>1</v>
      </c>
      <c r="C52" s="98" t="s">
        <v>56</v>
      </c>
      <c r="D52" s="99"/>
      <c r="E52" s="99"/>
      <c r="F52" s="99"/>
      <c r="G52" s="99"/>
      <c r="H52" s="99"/>
      <c r="I52" s="99"/>
      <c r="J52" s="100"/>
    </row>
    <row r="53" spans="1:10" ht="17.25" thickBot="1" x14ac:dyDescent="0.35">
      <c r="A53" s="64" t="s">
        <v>63</v>
      </c>
      <c r="B53" s="81">
        <v>2.2599999999999998</v>
      </c>
      <c r="C53" s="109" t="s">
        <v>57</v>
      </c>
      <c r="D53" s="110"/>
      <c r="E53" s="110"/>
      <c r="F53" s="110"/>
      <c r="G53" s="110"/>
      <c r="H53" s="110"/>
      <c r="I53" s="110"/>
      <c r="J53" s="111"/>
    </row>
    <row r="54" spans="1:10" ht="20.25" thickBot="1" x14ac:dyDescent="0.4">
      <c r="A54" s="69" t="s">
        <v>44</v>
      </c>
      <c r="B54" s="78">
        <f>SUM(B50:B53)</f>
        <v>11.819999999999999</v>
      </c>
      <c r="C54" s="67"/>
      <c r="D54" s="67"/>
      <c r="E54" s="67"/>
      <c r="F54" s="67"/>
      <c r="G54" s="67"/>
      <c r="H54" s="67"/>
      <c r="I54" s="67"/>
      <c r="J54" s="68"/>
    </row>
    <row r="55" spans="1:10" ht="21.75" thickBot="1" x14ac:dyDescent="0.35">
      <c r="A55" s="115" t="s">
        <v>43</v>
      </c>
      <c r="B55" s="116"/>
      <c r="C55" s="116"/>
      <c r="D55" s="116"/>
      <c r="E55" s="116"/>
      <c r="F55" s="116"/>
      <c r="G55" s="116"/>
      <c r="H55" s="116"/>
      <c r="I55" s="116"/>
      <c r="J55" s="117"/>
    </row>
    <row r="56" spans="1:10" x14ac:dyDescent="0.3">
      <c r="A56" s="62" t="s">
        <v>45</v>
      </c>
      <c r="B56" s="79">
        <v>1.9</v>
      </c>
      <c r="C56" s="106" t="s">
        <v>49</v>
      </c>
      <c r="D56" s="107"/>
      <c r="E56" s="107"/>
      <c r="F56" s="107"/>
      <c r="G56" s="107"/>
      <c r="H56" s="107"/>
      <c r="I56" s="107"/>
      <c r="J56" s="108"/>
    </row>
    <row r="57" spans="1:10" x14ac:dyDescent="0.3">
      <c r="A57" s="63" t="s">
        <v>46</v>
      </c>
      <c r="B57" s="80">
        <v>0.49</v>
      </c>
      <c r="C57" s="95" t="s">
        <v>48</v>
      </c>
      <c r="D57" s="96"/>
      <c r="E57" s="96"/>
      <c r="F57" s="96"/>
      <c r="G57" s="96"/>
      <c r="H57" s="96"/>
      <c r="I57" s="96"/>
      <c r="J57" s="97"/>
    </row>
    <row r="58" spans="1:10" ht="18" x14ac:dyDescent="0.35">
      <c r="A58" s="63" t="s">
        <v>64</v>
      </c>
      <c r="B58" s="120">
        <v>0.46</v>
      </c>
      <c r="C58" s="95"/>
      <c r="D58" s="96"/>
      <c r="E58" s="96"/>
      <c r="F58" s="96"/>
      <c r="G58" s="96"/>
      <c r="H58" s="96"/>
      <c r="I58" s="96"/>
      <c r="J58" s="97"/>
    </row>
    <row r="59" spans="1:10" x14ac:dyDescent="0.3">
      <c r="A59" s="63" t="s">
        <v>65</v>
      </c>
      <c r="B59" s="121"/>
      <c r="C59" s="95" t="s">
        <v>50</v>
      </c>
      <c r="D59" s="96"/>
      <c r="E59" s="96"/>
      <c r="F59" s="96"/>
      <c r="G59" s="96"/>
      <c r="H59" s="96"/>
      <c r="I59" s="96"/>
      <c r="J59" s="97"/>
    </row>
    <row r="60" spans="1:10" x14ac:dyDescent="0.3">
      <c r="A60" s="63" t="s">
        <v>66</v>
      </c>
      <c r="B60" s="121"/>
      <c r="C60" s="101" t="s">
        <v>72</v>
      </c>
      <c r="D60" s="101"/>
      <c r="E60" s="101"/>
      <c r="F60" s="101"/>
      <c r="G60" s="101"/>
      <c r="H60" s="101"/>
      <c r="I60" s="101"/>
      <c r="J60" s="102"/>
    </row>
    <row r="61" spans="1:10" x14ac:dyDescent="0.3">
      <c r="A61" s="63" t="s">
        <v>76</v>
      </c>
      <c r="B61" s="82">
        <v>0.38</v>
      </c>
      <c r="C61" s="101" t="s">
        <v>79</v>
      </c>
      <c r="D61" s="101"/>
      <c r="E61" s="101"/>
      <c r="F61" s="101"/>
      <c r="G61" s="101"/>
      <c r="H61" s="101"/>
      <c r="I61" s="101"/>
      <c r="J61" s="102"/>
    </row>
    <row r="62" spans="1:10" x14ac:dyDescent="0.3">
      <c r="A62" s="63" t="s">
        <v>77</v>
      </c>
      <c r="B62" s="82">
        <v>0.53</v>
      </c>
      <c r="C62" s="101" t="s">
        <v>80</v>
      </c>
      <c r="D62" s="101"/>
      <c r="E62" s="101"/>
      <c r="F62" s="101"/>
      <c r="G62" s="101"/>
      <c r="H62" s="101"/>
      <c r="I62" s="101"/>
      <c r="J62" s="102"/>
    </row>
    <row r="63" spans="1:10" x14ac:dyDescent="0.3">
      <c r="A63" s="63" t="s">
        <v>89</v>
      </c>
      <c r="B63" s="82">
        <v>1.49</v>
      </c>
      <c r="C63" s="101" t="s">
        <v>88</v>
      </c>
      <c r="D63" s="101"/>
      <c r="E63" s="101"/>
      <c r="F63" s="101"/>
      <c r="G63" s="101"/>
      <c r="H63" s="101"/>
      <c r="I63" s="101"/>
      <c r="J63" s="102"/>
    </row>
    <row r="64" spans="1:10" x14ac:dyDescent="0.3">
      <c r="A64" s="63" t="s">
        <v>90</v>
      </c>
      <c r="B64" s="82">
        <v>1.1599999999999999</v>
      </c>
      <c r="C64" s="101" t="s">
        <v>91</v>
      </c>
      <c r="D64" s="101"/>
      <c r="E64" s="101"/>
      <c r="F64" s="101"/>
      <c r="G64" s="101"/>
      <c r="H64" s="101"/>
      <c r="I64" s="101"/>
      <c r="J64" s="102"/>
    </row>
    <row r="65" spans="1:10" x14ac:dyDescent="0.3">
      <c r="A65" s="63" t="s">
        <v>78</v>
      </c>
      <c r="B65" s="82">
        <v>0.35</v>
      </c>
      <c r="C65" s="101" t="s">
        <v>81</v>
      </c>
      <c r="D65" s="101"/>
      <c r="E65" s="101"/>
      <c r="F65" s="101"/>
      <c r="G65" s="101"/>
      <c r="H65" s="101"/>
      <c r="I65" s="101"/>
      <c r="J65" s="102"/>
    </row>
    <row r="66" spans="1:10" ht="17.25" thickBot="1" x14ac:dyDescent="0.35">
      <c r="A66" s="64" t="s">
        <v>51</v>
      </c>
      <c r="B66" s="81">
        <v>0.22</v>
      </c>
      <c r="C66" s="109" t="s">
        <v>52</v>
      </c>
      <c r="D66" s="110"/>
      <c r="E66" s="110"/>
      <c r="F66" s="110"/>
      <c r="G66" s="110"/>
      <c r="H66" s="110"/>
      <c r="I66" s="110"/>
      <c r="J66" s="111"/>
    </row>
    <row r="67" spans="1:10" ht="20.25" thickBot="1" x14ac:dyDescent="0.4">
      <c r="A67" s="69" t="s">
        <v>44</v>
      </c>
      <c r="B67" s="54">
        <f>SUM(B56:B66)</f>
        <v>6.9799999999999995</v>
      </c>
      <c r="C67" s="67"/>
      <c r="D67" s="67"/>
      <c r="E67" s="67"/>
      <c r="F67" s="67"/>
      <c r="G67" s="67"/>
      <c r="H67" s="67"/>
      <c r="I67" s="67"/>
      <c r="J67" s="68"/>
    </row>
    <row r="68" spans="1:10" ht="17.25" thickBot="1" x14ac:dyDescent="0.35"/>
    <row r="69" spans="1:10" ht="43.5" thickBot="1" x14ac:dyDescent="0.35">
      <c r="A69" s="89" t="s">
        <v>53</v>
      </c>
      <c r="B69" s="90"/>
      <c r="C69" s="90"/>
      <c r="D69" s="90"/>
      <c r="E69" s="90"/>
      <c r="F69" s="90"/>
      <c r="G69" s="90"/>
      <c r="H69" s="90"/>
      <c r="I69" s="90"/>
      <c r="J69" s="91"/>
    </row>
    <row r="70" spans="1:10" ht="25.5" thickBot="1" x14ac:dyDescent="0.55000000000000004">
      <c r="A70" s="92" t="s">
        <v>54</v>
      </c>
      <c r="B70" s="93"/>
      <c r="C70" s="93"/>
      <c r="D70" s="94"/>
      <c r="E70" s="94"/>
      <c r="F70" s="70">
        <f>J42+B54</f>
        <v>49.76415440000001</v>
      </c>
      <c r="G70" s="71"/>
      <c r="H70" s="71"/>
      <c r="I70" s="71"/>
      <c r="J70" s="72"/>
    </row>
    <row r="71" spans="1:10" ht="25.5" thickBot="1" x14ac:dyDescent="0.55000000000000004">
      <c r="A71" s="92" t="s">
        <v>55</v>
      </c>
      <c r="B71" s="93"/>
      <c r="C71" s="93"/>
      <c r="D71" s="94"/>
      <c r="E71" s="94"/>
      <c r="F71" s="70">
        <f>J42+J46+B54+B67</f>
        <v>58.079212000000005</v>
      </c>
      <c r="G71" s="71"/>
      <c r="H71" s="71"/>
      <c r="I71" s="71"/>
      <c r="J71" s="72"/>
    </row>
  </sheetData>
  <sheetProtection sheet="1" objects="1" scenarios="1"/>
  <mergeCells count="29">
    <mergeCell ref="A9:J9"/>
    <mergeCell ref="C4:J4"/>
    <mergeCell ref="C5:J5"/>
    <mergeCell ref="A1:J1"/>
    <mergeCell ref="A3:J3"/>
    <mergeCell ref="C6:J6"/>
    <mergeCell ref="A43:J43"/>
    <mergeCell ref="C57:J57"/>
    <mergeCell ref="C56:J56"/>
    <mergeCell ref="C59:J59"/>
    <mergeCell ref="C66:J66"/>
    <mergeCell ref="A48:J48"/>
    <mergeCell ref="C51:J51"/>
    <mergeCell ref="C53:J53"/>
    <mergeCell ref="A49:J49"/>
    <mergeCell ref="A55:J55"/>
    <mergeCell ref="C50:J50"/>
    <mergeCell ref="C60:J60"/>
    <mergeCell ref="C62:J62"/>
    <mergeCell ref="C61:J61"/>
    <mergeCell ref="B58:B60"/>
    <mergeCell ref="C65:J65"/>
    <mergeCell ref="A69:J69"/>
    <mergeCell ref="A70:E70"/>
    <mergeCell ref="A71:E71"/>
    <mergeCell ref="C58:J58"/>
    <mergeCell ref="C52:J52"/>
    <mergeCell ref="C63:J63"/>
    <mergeCell ref="C64:J64"/>
  </mergeCells>
  <hyperlinks>
    <hyperlink ref="C57" r:id="rId1" display="https://fr.aliexpress.com/item/Expansion-Board-Terminal-Adapter-DIY-Kit-For-Arduino-NANO-IO-Shield-V1-0/32656255024.html?spm=a2g0w.search0104.3.46.26215d4cLpsQd5&amp;ws_ab_test=searchweb0_0,searchweb201602_5_10065_10068_319_10892_317_10696_10084_453_454_10083_10618_10304_10307_10820_10821_537_10302_536_10843_10059_10884_10887_321_322_10103,searchweb201603_52,ppcSwitch_0&amp;algo_expid=10866086-e013-4f9a-890b-619d6ec45601-9&amp;algo_pvid=10866086-e013-4f9a-890b-619d6ec45601&amp;transAbTest=ae803_3" xr:uid="{00000000-0004-0000-0000-000000000000}"/>
    <hyperlink ref="C56" r:id="rId2" display="https://fr.aliexpress.com/item/1PCS-Nano-3-0-Controller-Board-Compatible-for-Arduino-Nano-CH340-USB-Driver-without-USB-Free/32518770128.html?spm=a2g0w.search0104.3.181.3735393eRoIXnR&amp;ws_ab_test=searchweb0_0,searchweb201602_5_10065_10068_319_10892_317_10696_10084_453_454_10083_10618_10304_10307_10820_10821_537_10302_536_10843_10059_10884_10887_321_322_10103,searchweb201603_52,ppcSwitch_0&amp;algo_expid=aa94e67f-ca67-462c-b91e-43024037f370-29&amp;algo_pvid=aa94e67f-ca67-462c-b91e-43024037f370&amp;transAbTest=ae803_3" xr:uid="{00000000-0004-0000-0000-000001000000}"/>
    <hyperlink ref="C59" r:id="rId3" display="https://fr.aliexpress.com/item/Expansion-Board-Terminal-Adapter-DIY-Kit-For-Arduino-NANO-IO-Shield-V1-0/32656255024.html?spm=a2g0w.search0104.3.46.26215d4cLpsQd5&amp;ws_ab_test=searchweb0_0,searchweb201602_5_10065_10068_319_10892_317_10696_10084_453_454_10083_10618_10304_10307_10820_10821_537_10302_536_10843_10059_10884_10887_321_322_10103,searchweb201603_52,ppcSwitch_0&amp;algo_expid=10866086-e013-4f9a-890b-619d6ec45601-9&amp;algo_pvid=10866086-e013-4f9a-890b-619d6ec45601&amp;transAbTest=ae803_3" xr:uid="{00000000-0004-0000-0000-000002000000}"/>
    <hyperlink ref="C66" r:id="rId4" xr:uid="{00000000-0004-0000-0000-000003000000}"/>
    <hyperlink ref="C51" r:id="rId5" xr:uid="{00000000-0004-0000-0000-000004000000}"/>
    <hyperlink ref="C53" r:id="rId6" xr:uid="{00000000-0004-0000-0000-000005000000}"/>
    <hyperlink ref="C60" r:id="rId7" display="https://fr.aliexpress.com/item/TOP-MOSFET-Button-IRF520-MOSFET-Driver-Module-for-Arduino-ARM-Raspberry-pi/32278959252.html?spm=a2g0w.search0104.3.1.31546a4bh1V49P&amp;ws_ab_test=searchweb0_0,searchweb201602_1_10065_10068_10130_10547_319_10059_10884_317_10548_10887_10696_321_322_10084_453_10083_454_10103_10618_10307_537_536,searchweb201603_51,ppcSwitch_0&amp;algo_expid=a3b26830-7f25-442e-a160-5b1ed832b04c-0&amp;algo_pvid=a3b26830-7f25-442e-a160-5b1ed832b04c" xr:uid="{00000000-0004-0000-0000-000006000000}"/>
    <hyperlink ref="C50" r:id="rId8" display="https://fr.aliexpress.com/item/37mm-diam-tre-bo-te-de-vitesses-arbre-excentrique-motor-ducteur-12-v-24-v-DC/32885854653.html?spm=a2g0w.search0104.3.65.40eb5dfcOjt4XH&amp;ws_ab_test=searchweb0_0%2Csearchweb201602_1_10065_10130_10068_10547_319_10892_317_10696_453_10084_454_10083_10618_10307_10821_537_10302_536_10059_10884_10887_321_322_10103%2Csearchweb201603_51%2CppcSwitch_0&amp;algo_pvid=26a01faa-290b-4670-8be0-7669183dfcdb&amp;algo_expid=26a01faa-290b-4670-8be0-7669183dfcdb-10" xr:uid="{00000000-0004-0000-0000-000007000000}"/>
    <hyperlink ref="C61:J61" r:id="rId9" display="https://fr.aliexpress.com/item/10-pi-ces-5mm-diode-LED-lumi-re-assortiment-Kit-bricolage-LED-s-Set-blanc-jaune/32855494900.html?spm=a2g0w.search0104.3.116.64ad7cf2AaJcyo&amp;ws_ab_test=searchweb0_0%2Csearchweb201602_2_10065_10068_319_10892_317_10696_10084_453" xr:uid="{00000000-0004-0000-0000-000008000000}"/>
    <hyperlink ref="C62:J62" r:id="rId10" display="https://fr.aliexpress.com/item/100pcs-1k-ohm-1-4W-1k-Metal-Film-Resistor-1kohm-0-25W-1-ROHS/32577059793.html?spm=a2g0w.search0104.3.62.227745b0M9RSEI&amp;ws_ab_test=searchweb0_0,searchweb201602_2_10065_10068_319_10892_317_10696_10084_453_454_10083_10618_10304" xr:uid="{00000000-0004-0000-0000-000009000000}"/>
    <hyperlink ref="C65:J65" r:id="rId11" display="https://fr.aliexpress.com/item/1-pi-ces-bouton-autobloquant-DS-228-DS228-12mm-Auto-verrouillage-MARCHE-ARR-T-Interrupteur-Bouton/33010777214.html?spm=a2g0w.search0104.3.125.368a3bd3EnYxcd&amp;ws_ab_test=searchweb0_0%2Csearchweb201602_2_10065_10068_319_10892_3" xr:uid="{00000000-0004-0000-0000-00000A000000}"/>
    <hyperlink ref="C52" r:id="rId12" xr:uid="{00000000-0004-0000-0000-00000B000000}"/>
    <hyperlink ref="C63:J63" r:id="rId13" display="https://fr.aliexpress.com/item/100pcs-1k-ohm-1-4W-1k-Metal-Film-Resistor-1kohm-0-25W-1-ROHS/32577059793.html?spm=a2g0w.search0104.3.62.227745b0M9RSEI&amp;ws_ab_test=searchweb0_0,searchweb201602_2_10065_10068_319_10892_317_10696_10084_453_454_10083_10618_10304" xr:uid="{00000000-0004-0000-0000-00000C000000}"/>
    <hyperlink ref="C63" r:id="rId14" xr:uid="{00000000-0004-0000-0000-00000D000000}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Dan's</dc:creator>
  <cp:lastModifiedBy>dj bouns</cp:lastModifiedBy>
  <dcterms:created xsi:type="dcterms:W3CDTF">2019-02-13T18:11:05Z</dcterms:created>
  <dcterms:modified xsi:type="dcterms:W3CDTF">2026-09-15T11:56:30Z</dcterms:modified>
</cp:coreProperties>
</file>